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Ринат\YandexDisk\Teaching\2015 МД ЗН\"/>
    </mc:Choice>
  </mc:AlternateContent>
  <bookViews>
    <workbookView xWindow="9045" yWindow="-75" windowWidth="10140" windowHeight="11640"/>
  </bookViews>
  <sheets>
    <sheet name="PVTCalculator" sheetId="3" r:id="rId1"/>
  </sheets>
  <functionGroups builtInGroupCount="18"/>
  <definedNames>
    <definedName name="_xlnm.Print_Area" localSheetId="0">PVTCalculator!$A$1:$O$57</definedName>
  </definedNames>
  <calcPr calcId="152511"/>
</workbook>
</file>

<file path=xl/calcChain.xml><?xml version="1.0" encoding="utf-8"?>
<calcChain xmlns="http://schemas.openxmlformats.org/spreadsheetml/2006/main">
  <c r="P2" i="3" l="1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L8" i="3"/>
  <c r="L4" i="3"/>
  <c r="L5" i="3" l="1"/>
  <c r="L10" i="3" s="1"/>
  <c r="L9" i="3"/>
  <c r="L6" i="3"/>
  <c r="L7" i="3" s="1"/>
</calcChain>
</file>

<file path=xl/comments1.xml><?xml version="1.0" encoding="utf-8"?>
<comments xmlns="http://schemas.openxmlformats.org/spreadsheetml/2006/main">
  <authors>
    <author>Rinat</author>
  </authors>
  <commentLis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Использована корреляция Валко Маккейна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Использована корреляция Веларде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Использована корреляция Маккейна</t>
        </r>
      </text>
    </comment>
    <comment ref="L7" authorId="0" shapeId="0">
      <text>
        <r>
          <rPr>
            <b/>
            <sz val="9"/>
            <color indexed="81"/>
            <rFont val="Tahoma"/>
            <family val="2"/>
            <charset val="204"/>
          </rPr>
          <t>Использована корреляция Маккейна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Использована корреляция Стендинга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Использована корреляция Стендинга</t>
        </r>
      </text>
    </comment>
  </commentList>
</comments>
</file>

<file path=xl/sharedStrings.xml><?xml version="1.0" encoding="utf-8"?>
<sst xmlns="http://schemas.openxmlformats.org/spreadsheetml/2006/main" count="36" uniqueCount="29">
  <si>
    <t>Газосодержание</t>
  </si>
  <si>
    <t>Уд. плотность нефти</t>
  </si>
  <si>
    <t>Уд. плотность газа</t>
  </si>
  <si>
    <t>Температура</t>
  </si>
  <si>
    <t>Давление</t>
  </si>
  <si>
    <t>Давление насыщения</t>
  </si>
  <si>
    <t>Газосодержание при Рнас.</t>
  </si>
  <si>
    <t>Плотность</t>
  </si>
  <si>
    <t>Объёмный коэффициент</t>
  </si>
  <si>
    <t>Вязкость разгазир.нефти</t>
  </si>
  <si>
    <t>Вязкость нефти</t>
  </si>
  <si>
    <t>Сжимаемость</t>
  </si>
  <si>
    <t>атм</t>
  </si>
  <si>
    <t>m3/m3</t>
  </si>
  <si>
    <t>кг/m3</t>
  </si>
  <si>
    <t>rm3/sm3</t>
  </si>
  <si>
    <t>cП</t>
  </si>
  <si>
    <t>1/атм</t>
  </si>
  <si>
    <t>Ko</t>
  </si>
  <si>
    <t>стандартные условия: 288 Ko; 1 атм</t>
  </si>
  <si>
    <t>Таблица PVT свойств</t>
  </si>
  <si>
    <t>Объём. коэфф.</t>
  </si>
  <si>
    <t>Вязкость</t>
  </si>
  <si>
    <t>атм.</t>
  </si>
  <si>
    <t>сП</t>
  </si>
  <si>
    <t>м3/м3</t>
  </si>
  <si>
    <t>кг/м3</t>
  </si>
  <si>
    <t>Для пересчета графиков нажмите кнопку рассчитать</t>
  </si>
  <si>
    <t>Расчет физико-химических свойств нефти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</si>
</sst>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2" formatCode="0.000"/>
    <numFmt numFmtId="173" formatCode="0.0"/>
    <numFmt numFmtId="174" formatCode="0.000000"/>
    <numFmt numFmtId="175" formatCode="0.00000"/>
  </numFmts>
  <fonts count="12" x14ac:knownFonts="1">
    <font>
      <sz val="10"/>
      <name val="Arial Cyr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8"/>
      <name val="Arial"/>
      <family val="2"/>
      <charset val="204"/>
    </font>
    <font>
      <sz val="6"/>
      <color indexed="8"/>
      <name val="Arial"/>
      <family val="2"/>
      <charset val="204"/>
    </font>
    <font>
      <sz val="6"/>
      <color indexed="9"/>
      <name val="Arial"/>
      <family val="2"/>
      <charset val="204"/>
    </font>
    <font>
      <sz val="10"/>
      <color indexed="9"/>
      <name val="Arial"/>
      <family val="2"/>
      <charset val="204"/>
    </font>
    <font>
      <b/>
      <sz val="16"/>
      <name val="Arial"/>
      <family val="2"/>
      <charset val="204"/>
    </font>
    <font>
      <sz val="7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indexed="8"/>
      <name val="Arial Cy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69">
    <xf numFmtId="0" fontId="0" fillId="0" borderId="0" xfId="0"/>
    <xf numFmtId="0" fontId="6" fillId="0" borderId="0" xfId="2" applyFont="1" applyFill="1"/>
    <xf numFmtId="0" fontId="2" fillId="0" borderId="0" xfId="2"/>
    <xf numFmtId="0" fontId="2" fillId="0" borderId="0" xfId="2" quotePrefix="1" applyNumberFormat="1" applyBorder="1"/>
    <xf numFmtId="2" fontId="2" fillId="0" borderId="0" xfId="2" applyNumberFormat="1" applyBorder="1"/>
    <xf numFmtId="0" fontId="2" fillId="0" borderId="0" xfId="2" applyBorder="1"/>
    <xf numFmtId="0" fontId="2" fillId="0" borderId="1" xfId="2" applyNumberFormat="1" applyBorder="1"/>
    <xf numFmtId="2" fontId="2" fillId="0" borderId="1" xfId="2" applyNumberFormat="1" applyBorder="1"/>
    <xf numFmtId="0" fontId="2" fillId="0" borderId="1" xfId="2" applyBorder="1"/>
    <xf numFmtId="0" fontId="2" fillId="0" borderId="0" xfId="2" applyNumberFormat="1" applyBorder="1"/>
    <xf numFmtId="2" fontId="2" fillId="0" borderId="0" xfId="2" applyNumberFormat="1"/>
    <xf numFmtId="0" fontId="2" fillId="0" borderId="0" xfId="2" quotePrefix="1" applyNumberFormat="1" applyFill="1" applyBorder="1"/>
    <xf numFmtId="0" fontId="5" fillId="0" borderId="0" xfId="2" applyFont="1"/>
    <xf numFmtId="0" fontId="2" fillId="0" borderId="0" xfId="2" applyNumberFormat="1"/>
    <xf numFmtId="0" fontId="5" fillId="0" borderId="0" xfId="2" applyFont="1" applyFill="1" applyBorder="1"/>
    <xf numFmtId="0" fontId="2" fillId="0" borderId="0" xfId="2" applyFill="1" applyBorder="1"/>
    <xf numFmtId="0" fontId="2" fillId="0" borderId="0" xfId="2" applyNumberFormat="1" applyFill="1" applyBorder="1"/>
    <xf numFmtId="2" fontId="2" fillId="0" borderId="0" xfId="2" applyNumberFormat="1" applyFill="1" applyBorder="1"/>
    <xf numFmtId="0" fontId="7" fillId="0" borderId="0" xfId="2" applyFont="1" applyFill="1" applyBorder="1"/>
    <xf numFmtId="174" fontId="2" fillId="0" borderId="0" xfId="2" applyNumberFormat="1" applyBorder="1"/>
    <xf numFmtId="172" fontId="7" fillId="0" borderId="0" xfId="2" applyNumberFormat="1" applyFont="1" applyProtection="1">
      <protection locked="0"/>
    </xf>
    <xf numFmtId="172" fontId="7" fillId="0" borderId="0" xfId="2" quotePrefix="1" applyNumberFormat="1" applyFont="1" applyProtection="1">
      <protection locked="0"/>
    </xf>
    <xf numFmtId="2" fontId="7" fillId="0" borderId="0" xfId="2" quotePrefix="1" applyNumberFormat="1" applyFont="1" applyProtection="1">
      <protection locked="0"/>
    </xf>
    <xf numFmtId="2" fontId="7" fillId="0" borderId="0" xfId="2" applyNumberFormat="1" applyFont="1" applyProtection="1">
      <protection locked="0"/>
    </xf>
    <xf numFmtId="175" fontId="7" fillId="0" borderId="0" xfId="2" applyNumberFormat="1" applyFont="1" applyProtection="1">
      <protection locked="0"/>
    </xf>
    <xf numFmtId="0" fontId="5" fillId="0" borderId="0" xfId="2" applyFont="1" applyFill="1"/>
    <xf numFmtId="0" fontId="2" fillId="0" borderId="0" xfId="2" applyFill="1"/>
    <xf numFmtId="2" fontId="2" fillId="0" borderId="0" xfId="2" applyNumberFormat="1" applyFill="1"/>
    <xf numFmtId="0" fontId="2" fillId="0" borderId="0" xfId="2" applyNumberFormat="1" applyFill="1"/>
    <xf numFmtId="0" fontId="3" fillId="0" borderId="0" xfId="1" applyFill="1" applyAlignment="1" applyProtection="1"/>
    <xf numFmtId="2" fontId="4" fillId="0" borderId="0" xfId="2" applyNumberFormat="1" applyFont="1" applyFill="1" applyAlignment="1">
      <alignment horizontal="right"/>
    </xf>
    <xf numFmtId="0" fontId="4" fillId="0" borderId="0" xfId="2" applyFont="1" applyBorder="1" applyAlignment="1">
      <alignment horizontal="left"/>
    </xf>
    <xf numFmtId="2" fontId="2" fillId="0" borderId="0" xfId="2" applyNumberFormat="1" applyBorder="1" applyAlignment="1">
      <alignment horizontal="left"/>
    </xf>
    <xf numFmtId="173" fontId="2" fillId="3" borderId="2" xfId="2" applyNumberFormat="1" applyFill="1" applyBorder="1" applyAlignment="1" applyProtection="1">
      <alignment horizontal="center"/>
      <protection locked="0"/>
    </xf>
    <xf numFmtId="0" fontId="2" fillId="4" borderId="2" xfId="2" applyFont="1" applyFill="1" applyBorder="1"/>
    <xf numFmtId="2" fontId="2" fillId="4" borderId="2" xfId="2" applyNumberFormat="1" applyFill="1" applyBorder="1"/>
    <xf numFmtId="172" fontId="2" fillId="3" borderId="2" xfId="2" applyNumberFormat="1" applyFill="1" applyBorder="1" applyAlignment="1" applyProtection="1">
      <alignment horizontal="center"/>
      <protection locked="0"/>
    </xf>
    <xf numFmtId="0" fontId="2" fillId="4" borderId="2" xfId="2" applyFill="1" applyBorder="1"/>
    <xf numFmtId="173" fontId="2" fillId="3" borderId="2" xfId="2" applyNumberFormat="1" applyFont="1" applyFill="1" applyBorder="1" applyAlignment="1" applyProtection="1">
      <alignment horizontal="center"/>
      <protection locked="0"/>
    </xf>
    <xf numFmtId="173" fontId="2" fillId="4" borderId="2" xfId="2" applyNumberFormat="1" applyFill="1" applyBorder="1" applyAlignment="1" applyProtection="1">
      <alignment horizontal="center"/>
      <protection locked="0"/>
    </xf>
    <xf numFmtId="2" fontId="2" fillId="4" borderId="2" xfId="2" applyNumberFormat="1" applyFill="1" applyBorder="1" applyAlignment="1" applyProtection="1">
      <alignment horizontal="center"/>
      <protection locked="0"/>
    </xf>
    <xf numFmtId="174" fontId="2" fillId="4" borderId="2" xfId="2" applyNumberFormat="1" applyFill="1" applyBorder="1" applyAlignment="1" applyProtection="1">
      <alignment horizontal="center"/>
      <protection locked="0"/>
    </xf>
    <xf numFmtId="1" fontId="2" fillId="4" borderId="2" xfId="2" applyNumberFormat="1" applyFill="1" applyBorder="1" applyAlignment="1" applyProtection="1">
      <alignment horizontal="center"/>
      <protection locked="0"/>
    </xf>
    <xf numFmtId="2" fontId="9" fillId="0" borderId="2" xfId="2" applyNumberFormat="1" applyFont="1" applyBorder="1" applyAlignment="1">
      <alignment horizontal="center"/>
    </xf>
    <xf numFmtId="2" fontId="9" fillId="0" borderId="2" xfId="2" applyNumberFormat="1" applyFont="1" applyBorder="1" applyAlignment="1">
      <alignment horizontal="center" wrapText="1"/>
    </xf>
    <xf numFmtId="2" fontId="9" fillId="0" borderId="2" xfId="2" applyNumberFormat="1" applyFont="1" applyFill="1" applyBorder="1" applyAlignment="1">
      <alignment horizontal="center" wrapText="1"/>
    </xf>
    <xf numFmtId="0" fontId="1" fillId="4" borderId="2" xfId="2" applyFont="1" applyFill="1" applyBorder="1"/>
    <xf numFmtId="2" fontId="1" fillId="4" borderId="2" xfId="2" applyNumberFormat="1" applyFont="1" applyFill="1" applyBorder="1"/>
    <xf numFmtId="0" fontId="4" fillId="0" borderId="1" xfId="2" applyFont="1" applyBorder="1"/>
    <xf numFmtId="173" fontId="4" fillId="0" borderId="2" xfId="2" quotePrefix="1" applyNumberFormat="1" applyFont="1" applyBorder="1" applyAlignment="1" applyProtection="1">
      <alignment horizontal="center"/>
      <protection locked="0"/>
    </xf>
    <xf numFmtId="172" fontId="4" fillId="0" borderId="2" xfId="2" quotePrefix="1" applyNumberFormat="1" applyFont="1" applyBorder="1" applyAlignment="1" applyProtection="1">
      <alignment horizontal="center"/>
      <protection locked="0"/>
    </xf>
    <xf numFmtId="2" fontId="4" fillId="0" borderId="2" xfId="2" applyNumberFormat="1" applyFont="1" applyBorder="1" applyAlignment="1" applyProtection="1">
      <alignment horizontal="center"/>
      <protection locked="0"/>
    </xf>
    <xf numFmtId="173" fontId="4" fillId="2" borderId="2" xfId="2" quotePrefix="1" applyNumberFormat="1" applyFont="1" applyFill="1" applyBorder="1" applyAlignment="1" applyProtection="1">
      <alignment horizontal="center"/>
      <protection locked="0"/>
    </xf>
    <xf numFmtId="173" fontId="4" fillId="2" borderId="2" xfId="2" applyNumberFormat="1" applyFont="1" applyFill="1" applyBorder="1" applyAlignment="1" applyProtection="1">
      <alignment horizontal="center"/>
      <protection locked="0"/>
    </xf>
    <xf numFmtId="172" fontId="4" fillId="2" borderId="2" xfId="2" applyNumberFormat="1" applyFont="1" applyFill="1" applyBorder="1" applyAlignment="1" applyProtection="1">
      <alignment horizontal="center"/>
      <protection locked="0"/>
    </xf>
    <xf numFmtId="2" fontId="4" fillId="2" borderId="2" xfId="2" applyNumberFormat="1" applyFont="1" applyFill="1" applyBorder="1" applyAlignment="1" applyProtection="1">
      <alignment horizontal="center"/>
      <protection locked="0"/>
    </xf>
    <xf numFmtId="173" fontId="4" fillId="0" borderId="2" xfId="2" applyNumberFormat="1" applyFont="1" applyBorder="1" applyAlignment="1" applyProtection="1">
      <alignment horizontal="center"/>
      <protection locked="0"/>
    </xf>
    <xf numFmtId="172" fontId="4" fillId="0" borderId="2" xfId="2" applyNumberFormat="1" applyFont="1" applyBorder="1" applyAlignment="1" applyProtection="1">
      <alignment horizontal="center"/>
      <protection locked="0"/>
    </xf>
    <xf numFmtId="172" fontId="7" fillId="0" borderId="0" xfId="2" quotePrefix="1" applyNumberFormat="1" applyFont="1" applyAlignment="1" applyProtection="1">
      <alignment horizontal="right" vertical="top"/>
      <protection locked="0"/>
    </xf>
    <xf numFmtId="0" fontId="6" fillId="0" borderId="0" xfId="2" applyFont="1" applyFill="1" applyBorder="1"/>
    <xf numFmtId="172" fontId="7" fillId="0" borderId="0" xfId="2" quotePrefix="1" applyNumberFormat="1" applyFont="1" applyBorder="1" applyProtection="1">
      <protection locked="0"/>
    </xf>
    <xf numFmtId="2" fontId="4" fillId="0" borderId="0" xfId="2" applyNumberFormat="1" applyFont="1" applyFill="1" applyBorder="1"/>
    <xf numFmtId="0" fontId="2" fillId="0" borderId="1" xfId="2" applyFill="1" applyBorder="1"/>
    <xf numFmtId="0" fontId="1" fillId="0" borderId="0" xfId="2" applyFont="1" applyFill="1" applyBorder="1" applyAlignment="1">
      <alignment horizontal="right" vertical="top" wrapText="1"/>
    </xf>
    <xf numFmtId="2" fontId="2" fillId="4" borderId="2" xfId="2" applyNumberFormat="1" applyFill="1" applyBorder="1" applyAlignment="1">
      <alignment horizontal="left"/>
    </xf>
    <xf numFmtId="0" fontId="8" fillId="5" borderId="0" xfId="2" applyFont="1" applyFill="1" applyBorder="1" applyAlignment="1">
      <alignment horizontal="center" vertical="center"/>
    </xf>
    <xf numFmtId="0" fontId="4" fillId="4" borderId="2" xfId="2" applyFont="1" applyFill="1" applyBorder="1" applyAlignment="1">
      <alignment horizontal="left"/>
    </xf>
    <xf numFmtId="0" fontId="2" fillId="4" borderId="2" xfId="2" applyFill="1" applyBorder="1" applyAlignment="1">
      <alignment horizontal="center"/>
    </xf>
    <xf numFmtId="0" fontId="2" fillId="4" borderId="2" xfId="2" applyFill="1" applyBorder="1" applyAlignment="1">
      <alignment horizontal="left"/>
    </xf>
  </cellXfs>
  <cellStyles count="3">
    <cellStyle name="Hyperlink_Template_for_site" xfId="1"/>
    <cellStyle name="Normal_Template_for_site" xfId="2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ru-RU"/>
              <a:t>Газосодержание</a:t>
            </a:r>
          </a:p>
        </c:rich>
      </c:tx>
      <c:layout>
        <c:manualLayout>
          <c:xMode val="edge"/>
          <c:yMode val="edge"/>
          <c:x val="0.36900446484779803"/>
          <c:y val="3.86266094420600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17958327052542"/>
          <c:y val="0.14886000176061503"/>
          <c:w val="0.78966170519553647"/>
          <c:h val="0.6408394221270186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PVTCalculator!$Q$2:$Q$121</c:f>
              <c:numCache>
                <c:formatCode>0.000</c:formatCode>
                <c:ptCount val="12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</c:numCache>
            </c:numRef>
          </c:xVal>
          <c:yVal>
            <c:numRef>
              <c:f>PVTCalculator!$R$2:$R$121</c:f>
              <c:numCache>
                <c:formatCode>0.000</c:formatCode>
                <c:ptCount val="120"/>
                <c:pt idx="0">
                  <c:v>0</c:v>
                </c:pt>
                <c:pt idx="1">
                  <c:v>11.846693223192775</c:v>
                </c:pt>
                <c:pt idx="2">
                  <c:v>18.276592861623985</c:v>
                </c:pt>
                <c:pt idx="3">
                  <c:v>23.217898364295934</c:v>
                </c:pt>
                <c:pt idx="4">
                  <c:v>27.462168678392235</c:v>
                </c:pt>
                <c:pt idx="5">
                  <c:v>31.29190210804169</c:v>
                </c:pt>
                <c:pt idx="6">
                  <c:v>34.847065458333461</c:v>
                </c:pt>
                <c:pt idx="7">
                  <c:v>38.209176148237646</c:v>
                </c:pt>
                <c:pt idx="8">
                  <c:v>41.430650096782024</c:v>
                </c:pt>
                <c:pt idx="9">
                  <c:v>44.547542196639171</c:v>
                </c:pt>
                <c:pt idx="10">
                  <c:v>47.58590111614177</c:v>
                </c:pt>
                <c:pt idx="11">
                  <c:v>50.565263614762294</c:v>
                </c:pt>
                <c:pt idx="12">
                  <c:v>53.500720849362857</c:v>
                </c:pt>
                <c:pt idx="13">
                  <c:v>56.404211267370272</c:v>
                </c:pt>
                <c:pt idx="14">
                  <c:v>59.285367030391249</c:v>
                </c:pt>
                <c:pt idx="15">
                  <c:v>62.152089105968777</c:v>
                </c:pt>
                <c:pt idx="16">
                  <c:v>65.010950322272848</c:v>
                </c:pt>
                <c:pt idx="17">
                  <c:v>67.867485390112847</c:v>
                </c:pt>
                <c:pt idx="18">
                  <c:v>70.726404371858592</c:v>
                </c:pt>
                <c:pt idx="19">
                  <c:v>73.591752928264356</c:v>
                </c:pt>
                <c:pt idx="20">
                  <c:v>76.467034709064592</c:v>
                </c:pt>
                <c:pt idx="21">
                  <c:v>79.355306270355456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157632"/>
        <c:axId val="389159200"/>
      </c:scatterChart>
      <c:valAx>
        <c:axId val="38915763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ru-RU"/>
                  <a:t>Давление, атм</a:t>
                </a:r>
              </a:p>
            </c:rich>
          </c:tx>
          <c:layout>
            <c:manualLayout>
              <c:xMode val="edge"/>
              <c:yMode val="edge"/>
              <c:x val="0.4428052028551781"/>
              <c:y val="0.87124463519313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89159200"/>
        <c:crosses val="autoZero"/>
        <c:crossBetween val="midCat"/>
      </c:valAx>
      <c:valAx>
        <c:axId val="3891592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R</a:t>
                </a:r>
                <a:r>
                  <a:rPr lang="ru-RU" sz="6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ru-RU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, м3/м3</a:t>
                </a:r>
              </a:p>
            </c:rich>
          </c:tx>
          <c:layout>
            <c:manualLayout>
              <c:xMode val="edge"/>
              <c:yMode val="edge"/>
              <c:x val="2.2140221402214021E-2"/>
              <c:y val="0.390557939914163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89157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6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ru-RU"/>
              <a:t>Плотность</a:t>
            </a:r>
          </a:p>
        </c:rich>
      </c:tx>
      <c:layout>
        <c:manualLayout>
          <c:xMode val="edge"/>
          <c:yMode val="edge"/>
          <c:x val="0.42761089443258848"/>
          <c:y val="4.2735042735042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31356308384326"/>
          <c:y val="0.15384679590175906"/>
          <c:w val="0.82155152288353217"/>
          <c:h val="0.636754794148947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FF00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PVTCalculator!$Q$2:$Q$121</c:f>
              <c:numCache>
                <c:formatCode>0.000</c:formatCode>
                <c:ptCount val="12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</c:numCache>
            </c:numRef>
          </c:xVal>
          <c:yVal>
            <c:numRef>
              <c:f>PVTCalculator!$S$2:$S$121</c:f>
              <c:numCache>
                <c:formatCode>0.000</c:formatCode>
                <c:ptCount val="120"/>
                <c:pt idx="0">
                  <c:v>758.52660479170038</c:v>
                </c:pt>
                <c:pt idx="1">
                  <c:v>747.80486632899897</c:v>
                </c:pt>
                <c:pt idx="2">
                  <c:v>742.32264546636998</c:v>
                </c:pt>
                <c:pt idx="3">
                  <c:v>738.26041500586985</c:v>
                </c:pt>
                <c:pt idx="4">
                  <c:v>734.87000319284743</c:v>
                </c:pt>
                <c:pt idx="5">
                  <c:v>731.88452438620243</c:v>
                </c:pt>
                <c:pt idx="6">
                  <c:v>729.17196838020163</c:v>
                </c:pt>
                <c:pt idx="7">
                  <c:v>726.65567080959386</c:v>
                </c:pt>
                <c:pt idx="8">
                  <c:v>724.28653859486326</c:v>
                </c:pt>
                <c:pt idx="9">
                  <c:v>722.03098698163865</c:v>
                </c:pt>
                <c:pt idx="10">
                  <c:v>719.86492047786658</c:v>
                </c:pt>
                <c:pt idx="11">
                  <c:v>717.77042214268727</c:v>
                </c:pt>
                <c:pt idx="12">
                  <c:v>715.73379534310538</c:v>
                </c:pt>
                <c:pt idx="13">
                  <c:v>713.7443381933183</c:v>
                </c:pt>
                <c:pt idx="14">
                  <c:v>711.79354096509951</c:v>
                </c:pt>
                <c:pt idx="15">
                  <c:v>709.8745409698555</c:v>
                </c:pt>
                <c:pt idx="16">
                  <c:v>707.98173986259019</c:v>
                </c:pt>
                <c:pt idx="17">
                  <c:v>706.11052868162869</c:v>
                </c:pt>
                <c:pt idx="18">
                  <c:v>704.25708516898715</c:v>
                </c:pt>
                <c:pt idx="19">
                  <c:v>702.41822159179696</c:v>
                </c:pt>
                <c:pt idx="20">
                  <c:v>700.59126844407297</c:v>
                </c:pt>
                <c:pt idx="21">
                  <c:v>698.77398418482312</c:v>
                </c:pt>
                <c:pt idx="22">
                  <c:v>699.24890703038068</c:v>
                </c:pt>
                <c:pt idx="23">
                  <c:v>700.14629629299623</c:v>
                </c:pt>
                <c:pt idx="24">
                  <c:v>700.96991479550775</c:v>
                </c:pt>
                <c:pt idx="25">
                  <c:v>701.72849949279953</c:v>
                </c:pt>
                <c:pt idx="26">
                  <c:v>702.42946014139613</c:v>
                </c:pt>
                <c:pt idx="27">
                  <c:v>703.07912207890649</c:v>
                </c:pt>
                <c:pt idx="28">
                  <c:v>703.68291759396982</c:v>
                </c:pt>
                <c:pt idx="29">
                  <c:v>704.24553815371996</c:v>
                </c:pt>
                <c:pt idx="30">
                  <c:v>704.77105652096077</c:v>
                </c:pt>
                <c:pt idx="31">
                  <c:v>705.26302548741626</c:v>
                </c:pt>
                <c:pt idx="32">
                  <c:v>705.72455828532327</c:v>
                </c:pt>
                <c:pt idx="33">
                  <c:v>706.15839452478679</c:v>
                </c:pt>
                <c:pt idx="34">
                  <c:v>706.56695460789001</c:v>
                </c:pt>
                <c:pt idx="35">
                  <c:v>706.9523849024356</c:v>
                </c:pt>
                <c:pt idx="36">
                  <c:v>707.31659545556852</c:v>
                </c:pt>
                <c:pt idx="37">
                  <c:v>707.6612916460557</c:v>
                </c:pt>
                <c:pt idx="38">
                  <c:v>707.98800088208623</c:v>
                </c:pt>
                <c:pt idx="39">
                  <c:v>708.2980952263415</c:v>
                </c:pt>
                <c:pt idx="40">
                  <c:v>708.59281065518076</c:v>
                </c:pt>
                <c:pt idx="41">
                  <c:v>708.87326352199284</c:v>
                </c:pt>
                <c:pt idx="42">
                  <c:v>709.14046468702725</c:v>
                </c:pt>
                <c:pt idx="43">
                  <c:v>709.39533169067226</c:v>
                </c:pt>
                <c:pt idx="44">
                  <c:v>709.63869927912219</c:v>
                </c:pt>
                <c:pt idx="45">
                  <c:v>709.87132853685364</c:v>
                </c:pt>
                <c:pt idx="46">
                  <c:v>710.09391483640286</c:v>
                </c:pt>
                <c:pt idx="47">
                  <c:v>710.3070947803576</c:v>
                </c:pt>
                <c:pt idx="48">
                  <c:v>710.51145228152711</c:v>
                </c:pt>
                <c:pt idx="49">
                  <c:v>710.70752390358098</c:v>
                </c:pt>
                <c:pt idx="50" formatCode="0.00">
                  <c:v>710.89580356501074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167040"/>
        <c:axId val="389169784"/>
      </c:scatterChart>
      <c:valAx>
        <c:axId val="38916704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ru-RU"/>
                  <a:t>Давление, атм</a:t>
                </a:r>
              </a:p>
            </c:rich>
          </c:tx>
          <c:layout>
            <c:manualLayout>
              <c:xMode val="edge"/>
              <c:yMode val="edge"/>
              <c:x val="0.45454706012215762"/>
              <c:y val="0.871798461089799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89169784"/>
        <c:crosses val="autoZero"/>
        <c:crossBetween val="midCat"/>
      </c:valAx>
      <c:valAx>
        <c:axId val="38916978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600" b="0" i="0" u="none" strike="noStrike" baseline="0">
                    <a:solidFill>
                      <a:srgbClr val="000000"/>
                    </a:solidFill>
                  </a:rPr>
                  <a:t>r</a:t>
                </a:r>
                <a:r>
                  <a:rPr lang="ru-RU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, kg/m</a:t>
                </a:r>
                <a:r>
                  <a:rPr lang="ru-RU" sz="600" b="1" i="0" u="none" strike="noStrike" baseline="30000">
                    <a:solidFill>
                      <a:srgbClr val="000000"/>
                    </a:solidFill>
                    <a:latin typeface="Arial"/>
                    <a:cs typeface="Arial"/>
                  </a:rPr>
                  <a:t>3</a:t>
                </a:r>
              </a:p>
            </c:rich>
          </c:tx>
          <c:layout>
            <c:manualLayout>
              <c:xMode val="edge"/>
              <c:yMode val="edge"/>
              <c:x val="1.6835185321460985E-2"/>
              <c:y val="0.4017111963568656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8916704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6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ru-RU"/>
              <a:t>Объемный коэфициент нефти</a:t>
            </a:r>
          </a:p>
        </c:rich>
      </c:tx>
      <c:layout>
        <c:manualLayout>
          <c:xMode val="edge"/>
          <c:yMode val="edge"/>
          <c:x val="0.23897058823529413"/>
          <c:y val="3.86266094420600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17794840750167"/>
          <c:y val="0.16015290681673991"/>
          <c:w val="0.74386250339749449"/>
          <c:h val="0.6295468681712225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PVTCalculator!$Q$2:$Q$121</c:f>
              <c:numCache>
                <c:formatCode>0.000</c:formatCode>
                <c:ptCount val="12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</c:numCache>
            </c:numRef>
          </c:xVal>
          <c:yVal>
            <c:numRef>
              <c:f>PVTCalculator!$T$2:$T$121</c:f>
              <c:numCache>
                <c:formatCode>0.000</c:formatCode>
                <c:ptCount val="120"/>
                <c:pt idx="0">
                  <c:v>1.0546762565034731</c:v>
                </c:pt>
                <c:pt idx="1">
                  <c:v>1.0843070917056441</c:v>
                </c:pt>
                <c:pt idx="2">
                  <c:v>1.1002481537734838</c:v>
                </c:pt>
                <c:pt idx="3">
                  <c:v>1.1124323260683233</c:v>
                </c:pt>
                <c:pt idx="4">
                  <c:v>1.1228543535708921</c:v>
                </c:pt>
                <c:pt idx="5">
                  <c:v>1.1322271771874344</c:v>
                </c:pt>
                <c:pt idx="6">
                  <c:v>1.1409045866674636</c:v>
                </c:pt>
                <c:pt idx="7">
                  <c:v>1.1490929724630221</c:v>
                </c:pt>
                <c:pt idx="8">
                  <c:v>1.1569252713983249</c:v>
                </c:pt>
                <c:pt idx="9">
                  <c:v>1.164493085114066</c:v>
                </c:pt>
                <c:pt idx="10">
                  <c:v>1.1718627094504135</c:v>
                </c:pt>
                <c:pt idx="11">
                  <c:v>1.1790839537521223</c:v>
                </c:pt>
                <c:pt idx="12">
                  <c:v>1.1861953592015624</c:v>
                </c:pt>
                <c:pt idx="13">
                  <c:v>1.1932274659590478</c:v>
                </c:pt>
                <c:pt idx="14">
                  <c:v>1.2002049535094965</c:v>
                </c:pt>
                <c:pt idx="15">
                  <c:v>1.2071480952386215</c:v>
                </c:pt>
                <c:pt idx="16">
                  <c:v>1.2140737793895831</c:v>
                </c:pt>
                <c:pt idx="17">
                  <c:v>1.2209962432653561</c:v>
                </c:pt>
                <c:pt idx="18">
                  <c:v>1.2279276142640196</c:v>
                </c:pt>
                <c:pt idx="19">
                  <c:v>1.2348783161218126</c:v>
                </c:pt>
                <c:pt idx="20">
                  <c:v>1.2418573792876275</c:v>
                </c:pt>
                <c:pt idx="21">
                  <c:v>1.2488726816821603</c:v>
                </c:pt>
                <c:pt idx="22">
                  <c:v>1.2488688809091819</c:v>
                </c:pt>
                <c:pt idx="23">
                  <c:v>1.2472681846974381</c:v>
                </c:pt>
                <c:pt idx="24">
                  <c:v>1.2458026822089177</c:v>
                </c:pt>
                <c:pt idx="25">
                  <c:v>1.244455940767959</c:v>
                </c:pt>
                <c:pt idx="26">
                  <c:v>1.2432140870404473</c:v>
                </c:pt>
                <c:pt idx="27">
                  <c:v>1.2420653274667897</c:v>
                </c:pt>
                <c:pt idx="28">
                  <c:v>1.2409995726283685</c:v>
                </c:pt>
                <c:pt idx="29">
                  <c:v>1.2400081401855982</c:v>
                </c:pt>
                <c:pt idx="30">
                  <c:v>1.2390835178601405</c:v>
                </c:pt>
                <c:pt idx="31">
                  <c:v>1.2382191727639087</c:v>
                </c:pt>
                <c:pt idx="32">
                  <c:v>1.2374093968357247</c:v>
                </c:pt>
                <c:pt idx="33">
                  <c:v>1.2366491806525532</c:v>
                </c:pt>
                <c:pt idx="34">
                  <c:v>1.2359341097187628</c:v>
                </c:pt>
                <c:pt idx="35">
                  <c:v>1.2352602786968707</c:v>
                </c:pt>
                <c:pt idx="36">
                  <c:v>1.2346242200602464</c:v>
                </c:pt>
                <c:pt idx="37">
                  <c:v>1.2340228444157653</c:v>
                </c:pt>
                <c:pt idx="38">
                  <c:v>1.2334533903286324</c:v>
                </c:pt>
                <c:pt idx="39">
                  <c:v>1.2329133819298788</c:v>
                </c:pt>
                <c:pt idx="40">
                  <c:v>1.2324005929336976</c:v>
                </c:pt>
                <c:pt idx="41">
                  <c:v>1.2319130159617127</c:v>
                </c:pt>
                <c:pt idx="42">
                  <c:v>1.2314488362829641</c:v>
                </c:pt>
                <c:pt idx="43">
                  <c:v>1.2310064092454227</c:v>
                </c:pt>
                <c:pt idx="44">
                  <c:v>1.2305842408074714</c:v>
                </c:pt>
                <c:pt idx="45">
                  <c:v>1.2301809706837081</c:v>
                </c:pt>
                <c:pt idx="46">
                  <c:v>1.229795357704468</c:v>
                </c:pt>
                <c:pt idx="47">
                  <c:v>1.2294262670571159</c:v>
                </c:pt>
                <c:pt idx="48">
                  <c:v>1.2290726591328507</c:v>
                </c:pt>
                <c:pt idx="49">
                  <c:v>1.2287335797481629</c:v>
                </c:pt>
                <c:pt idx="50" formatCode="0.00">
                  <c:v>1.2284081515472616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167432"/>
        <c:axId val="389169392"/>
      </c:scatterChart>
      <c:valAx>
        <c:axId val="38916743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ru-RU"/>
                  <a:t>Давление, атм</a:t>
                </a:r>
              </a:p>
            </c:rich>
          </c:tx>
          <c:layout>
            <c:manualLayout>
              <c:xMode val="edge"/>
              <c:yMode val="edge"/>
              <c:x val="0.42523660645360506"/>
              <c:y val="0.893830331294425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89169392"/>
        <c:crosses val="autoZero"/>
        <c:crossBetween val="midCat"/>
      </c:valAx>
      <c:valAx>
        <c:axId val="389169392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B</a:t>
                </a:r>
                <a:r>
                  <a:rPr lang="ru-RU" sz="6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o</a:t>
                </a:r>
                <a:r>
                  <a:rPr lang="ru-RU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, м3/м3</a:t>
                </a:r>
              </a:p>
            </c:rich>
          </c:tx>
          <c:layout>
            <c:manualLayout>
              <c:xMode val="edge"/>
              <c:yMode val="edge"/>
              <c:x val="2.2058823529411766E-2"/>
              <c:y val="0.3733905579399141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891674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6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ru-RU"/>
              <a:t>Вязкость</a:t>
            </a:r>
          </a:p>
        </c:rich>
      </c:tx>
      <c:layout>
        <c:manualLayout>
          <c:xMode val="edge"/>
          <c:yMode val="edge"/>
          <c:x val="0.40878379265091863"/>
          <c:y val="4.2735042735042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352963153010033"/>
          <c:y val="0.15384679590175906"/>
          <c:w val="0.78917305120863923"/>
          <c:h val="0.636754794148947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PVTCalculator!$Q$2:$Q$121</c:f>
              <c:numCache>
                <c:formatCode>0.000</c:formatCode>
                <c:ptCount val="12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</c:numCache>
            </c:numRef>
          </c:xVal>
          <c:yVal>
            <c:numRef>
              <c:f>PVTCalculator!$U$2:$U$121</c:f>
              <c:numCache>
                <c:formatCode>0.000</c:formatCode>
                <c:ptCount val="120"/>
                <c:pt idx="0">
                  <c:v>0.9677699407823821</c:v>
                </c:pt>
                <c:pt idx="1">
                  <c:v>0.86814945618583361</c:v>
                </c:pt>
                <c:pt idx="2">
                  <c:v>0.81976456668959408</c:v>
                </c:pt>
                <c:pt idx="3">
                  <c:v>0.78505166721747077</c:v>
                </c:pt>
                <c:pt idx="4">
                  <c:v>0.75684083879949138</c:v>
                </c:pt>
                <c:pt idx="5">
                  <c:v>0.73259042221217574</c:v>
                </c:pt>
                <c:pt idx="6">
                  <c:v>0.7110524707095921</c:v>
                </c:pt>
                <c:pt idx="7">
                  <c:v>0.69150810862276646</c:v>
                </c:pt>
                <c:pt idx="8">
                  <c:v>0.67350095130437315</c:v>
                </c:pt>
                <c:pt idx="9">
                  <c:v>0.6567215675320861</c:v>
                </c:pt>
                <c:pt idx="10">
                  <c:v>0.64094996601306709</c:v>
                </c:pt>
                <c:pt idx="11">
                  <c:v>0.62602404269317113</c:v>
                </c:pt>
                <c:pt idx="12">
                  <c:v>0.61182096946992459</c:v>
                </c:pt>
                <c:pt idx="13">
                  <c:v>0.59824558048351739</c:v>
                </c:pt>
                <c:pt idx="14">
                  <c:v>0.58522279061711435</c:v>
                </c:pt>
                <c:pt idx="15">
                  <c:v>0.5726924597377262</c:v>
                </c:pt>
                <c:pt idx="16">
                  <c:v>0.56060580449689612</c:v>
                </c:pt>
                <c:pt idx="17">
                  <c:v>0.54892282478285137</c:v>
                </c:pt>
                <c:pt idx="18">
                  <c:v>0.5376104158964925</c:v>
                </c:pt>
                <c:pt idx="19">
                  <c:v>0.52664095644947817</c:v>
                </c:pt>
                <c:pt idx="20">
                  <c:v>0.51599123393040247</c:v>
                </c:pt>
                <c:pt idx="21">
                  <c:v>0.50564161483103676</c:v>
                </c:pt>
                <c:pt idx="22">
                  <c:v>0.50577925106294563</c:v>
                </c:pt>
                <c:pt idx="23">
                  <c:v>0.50823591317328698</c:v>
                </c:pt>
                <c:pt idx="24">
                  <c:v>0.51069257528362832</c:v>
                </c:pt>
                <c:pt idx="25">
                  <c:v>0.51314923739396956</c:v>
                </c:pt>
                <c:pt idx="26">
                  <c:v>0.51560589950431091</c:v>
                </c:pt>
                <c:pt idx="27">
                  <c:v>0.51806256161465225</c:v>
                </c:pt>
                <c:pt idx="28">
                  <c:v>0.5205192237249936</c:v>
                </c:pt>
                <c:pt idx="29">
                  <c:v>0.52297588583533494</c:v>
                </c:pt>
                <c:pt idx="30">
                  <c:v>0.52543254794567629</c:v>
                </c:pt>
                <c:pt idx="31">
                  <c:v>0.52788921005601763</c:v>
                </c:pt>
                <c:pt idx="32">
                  <c:v>0.53034587216635887</c:v>
                </c:pt>
                <c:pt idx="33">
                  <c:v>0.53280253427670021</c:v>
                </c:pt>
                <c:pt idx="34">
                  <c:v>0.53525919638704156</c:v>
                </c:pt>
                <c:pt idx="35">
                  <c:v>0.5377158584973829</c:v>
                </c:pt>
                <c:pt idx="36">
                  <c:v>0.54017252060772425</c:v>
                </c:pt>
                <c:pt idx="37">
                  <c:v>0.54262918271806559</c:v>
                </c:pt>
                <c:pt idx="38">
                  <c:v>0.54508584482840694</c:v>
                </c:pt>
                <c:pt idx="39">
                  <c:v>0.54754250693874829</c:v>
                </c:pt>
                <c:pt idx="40">
                  <c:v>0.54999916904908952</c:v>
                </c:pt>
                <c:pt idx="41">
                  <c:v>0.55245583115943087</c:v>
                </c:pt>
                <c:pt idx="42">
                  <c:v>0.55491249326977221</c:v>
                </c:pt>
                <c:pt idx="43">
                  <c:v>0.55736915538011356</c:v>
                </c:pt>
                <c:pt idx="44">
                  <c:v>0.5598258174904549</c:v>
                </c:pt>
                <c:pt idx="45">
                  <c:v>0.56228247960079625</c:v>
                </c:pt>
                <c:pt idx="46">
                  <c:v>0.56473914171113759</c:v>
                </c:pt>
                <c:pt idx="47">
                  <c:v>0.56719580382147883</c:v>
                </c:pt>
                <c:pt idx="48">
                  <c:v>0.56965246593182017</c:v>
                </c:pt>
                <c:pt idx="49">
                  <c:v>0.57210912804216152</c:v>
                </c:pt>
                <c:pt idx="50" formatCode="0.00">
                  <c:v>0.57456579015250286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398360"/>
        <c:axId val="390399928"/>
      </c:scatterChart>
      <c:valAx>
        <c:axId val="39039836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ru-RU"/>
                  <a:t>Давление, атм</a:t>
                </a:r>
              </a:p>
            </c:rich>
          </c:tx>
          <c:layout>
            <c:manualLayout>
              <c:xMode val="edge"/>
              <c:yMode val="edge"/>
              <c:x val="0.43940354330708664"/>
              <c:y val="0.9055337954550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90399928"/>
        <c:crosses val="autoZero"/>
        <c:crossBetween val="midCat"/>
      </c:valAx>
      <c:valAx>
        <c:axId val="39039992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600" b="0" i="0" u="none" strike="noStrike" baseline="0">
                    <a:solidFill>
                      <a:srgbClr val="000000"/>
                    </a:solidFill>
                  </a:rPr>
                  <a:t>m, </a:t>
                </a:r>
                <a:r>
                  <a:rPr lang="ru-RU" sz="6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cP</a:t>
                </a:r>
              </a:p>
            </c:rich>
          </c:tx>
          <c:layout>
            <c:manualLayout>
              <c:xMode val="edge"/>
              <c:yMode val="edge"/>
              <c:x val="2.0270341207349083E-2"/>
              <c:y val="0.4316257262713955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903983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6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ru-RU"/>
              <a:t>Сжимаемость</a:t>
            </a:r>
          </a:p>
        </c:rich>
      </c:tx>
      <c:layout>
        <c:manualLayout>
          <c:xMode val="edge"/>
          <c:yMode val="edge"/>
          <c:x val="0.32835899243937788"/>
          <c:y val="4.3062038769817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58189122131123"/>
          <c:y val="0.17337211714783593"/>
          <c:w val="0.71765298717420245"/>
          <c:h val="0.6126867358796181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CC99FF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PVTCalculator!$Q$2:$Q$121</c:f>
              <c:numCache>
                <c:formatCode>0.000</c:formatCode>
                <c:ptCount val="12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</c:numCache>
            </c:numRef>
          </c:xVal>
          <c:yVal>
            <c:numRef>
              <c:f>PVTCalculator!$V$2:$V$121</c:f>
              <c:numCache>
                <c:formatCode>0.000</c:formatCode>
                <c:ptCount val="120"/>
                <c:pt idx="0">
                  <c:v>8.3899999999999999E-3</c:v>
                </c:pt>
                <c:pt idx="1">
                  <c:v>2.3437841591434335E-3</c:v>
                </c:pt>
                <c:pt idx="2">
                  <c:v>1.3525722594116341E-3</c:v>
                </c:pt>
                <c:pt idx="3">
                  <c:v>9.942819626911441E-4</c:v>
                </c:pt>
                <c:pt idx="4">
                  <c:v>8.053434699314112E-4</c:v>
                </c:pt>
                <c:pt idx="5">
                  <c:v>6.8732097969438838E-4</c:v>
                </c:pt>
                <c:pt idx="6">
                  <c:v>6.0606751312639008E-4</c:v>
                </c:pt>
                <c:pt idx="7">
                  <c:v>5.4647938564727941E-4</c:v>
                </c:pt>
                <c:pt idx="8">
                  <c:v>5.008003169298936E-4</c:v>
                </c:pt>
                <c:pt idx="9">
                  <c:v>4.6461909682790224E-4</c:v>
                </c:pt>
                <c:pt idx="10">
                  <c:v>4.352327642727167E-4</c:v>
                </c:pt>
                <c:pt idx="11">
                  <c:v>4.1088798319542186E-4</c:v>
                </c:pt>
                <c:pt idx="12">
                  <c:v>3.9039504264451593E-4</c:v>
                </c:pt>
                <c:pt idx="13">
                  <c:v>3.7291666717124684E-4</c:v>
                </c:pt>
                <c:pt idx="14">
                  <c:v>3.5784554479342763E-4</c:v>
                </c:pt>
                <c:pt idx="15">
                  <c:v>3.4472982718369627E-4</c:v>
                </c:pt>
                <c:pt idx="16">
                  <c:v>3.3322596300698344E-4</c:v>
                </c:pt>
                <c:pt idx="17">
                  <c:v>3.2306780464260847E-4</c:v>
                </c:pt>
                <c:pt idx="18">
                  <c:v>3.1404577364991404E-4</c:v>
                </c:pt>
                <c:pt idx="19">
                  <c:v>3.0599244813518184E-4</c:v>
                </c:pt>
                <c:pt idx="20">
                  <c:v>2.9877236753247163E-4</c:v>
                </c:pt>
                <c:pt idx="21">
                  <c:v>2.9227467678066561E-4</c:v>
                </c:pt>
                <c:pt idx="22">
                  <c:v>2.8063636363636366E-4</c:v>
                </c:pt>
                <c:pt idx="23">
                  <c:v>2.6843478260869563E-4</c:v>
                </c:pt>
                <c:pt idx="24">
                  <c:v>2.5724999999999999E-4</c:v>
                </c:pt>
                <c:pt idx="25">
                  <c:v>2.4696000000000001E-4</c:v>
                </c:pt>
                <c:pt idx="26">
                  <c:v>2.3746153846153847E-4</c:v>
                </c:pt>
                <c:pt idx="27">
                  <c:v>2.2866666666666668E-4</c:v>
                </c:pt>
                <c:pt idx="28">
                  <c:v>2.2049999999999999E-4</c:v>
                </c:pt>
                <c:pt idx="29">
                  <c:v>2.1289655172413796E-4</c:v>
                </c:pt>
                <c:pt idx="30">
                  <c:v>2.0579999999999999E-4</c:v>
                </c:pt>
                <c:pt idx="31">
                  <c:v>1.9916129032258065E-4</c:v>
                </c:pt>
                <c:pt idx="32">
                  <c:v>1.9293750000000002E-4</c:v>
                </c:pt>
                <c:pt idx="33">
                  <c:v>1.8709090909090908E-4</c:v>
                </c:pt>
                <c:pt idx="34">
                  <c:v>1.8158823529411766E-4</c:v>
                </c:pt>
                <c:pt idx="35">
                  <c:v>1.7640000000000001E-4</c:v>
                </c:pt>
                <c:pt idx="36">
                  <c:v>1.7149999999999999E-4</c:v>
                </c:pt>
                <c:pt idx="37">
                  <c:v>1.6686486486486486E-4</c:v>
                </c:pt>
                <c:pt idx="38">
                  <c:v>1.6247368421052632E-4</c:v>
                </c:pt>
                <c:pt idx="39">
                  <c:v>1.5830769230769232E-4</c:v>
                </c:pt>
                <c:pt idx="40">
                  <c:v>1.5434999999999998E-4</c:v>
                </c:pt>
                <c:pt idx="41">
                  <c:v>1.5058536585365855E-4</c:v>
                </c:pt>
                <c:pt idx="42">
                  <c:v>1.47E-4</c:v>
                </c:pt>
                <c:pt idx="43">
                  <c:v>1.4358139534883721E-4</c:v>
                </c:pt>
                <c:pt idx="44">
                  <c:v>1.4031818181818183E-4</c:v>
                </c:pt>
                <c:pt idx="45">
                  <c:v>1.372E-4</c:v>
                </c:pt>
                <c:pt idx="46">
                  <c:v>1.3421739130434782E-4</c:v>
                </c:pt>
                <c:pt idx="47">
                  <c:v>1.3136170212765957E-4</c:v>
                </c:pt>
                <c:pt idx="48">
                  <c:v>1.28625E-4</c:v>
                </c:pt>
                <c:pt idx="49">
                  <c:v>1.26E-4</c:v>
                </c:pt>
                <c:pt idx="50" formatCode="0.00">
                  <c:v>1.2348E-4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400320"/>
        <c:axId val="390401496"/>
      </c:scatterChart>
      <c:valAx>
        <c:axId val="39040032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ru-RU"/>
                  <a:t>Давление, атм</a:t>
                </a:r>
              </a:p>
            </c:rich>
          </c:tx>
          <c:layout>
            <c:manualLayout>
              <c:xMode val="edge"/>
              <c:yMode val="edge"/>
              <c:x val="0.44526814745171783"/>
              <c:y val="0.912414580464437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90401496"/>
        <c:crosses val="autoZero"/>
        <c:crossBetween val="midCat"/>
      </c:valAx>
      <c:valAx>
        <c:axId val="3904014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</a:t>
                </a:r>
                <a:r>
                  <a:rPr lang="ru-RU" sz="6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o</a:t>
                </a:r>
                <a:r>
                  <a:rPr lang="ru-RU" sz="6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, 1/атм</a:t>
                </a:r>
              </a:p>
            </c:rich>
          </c:tx>
          <c:layout>
            <c:manualLayout>
              <c:xMode val="edge"/>
              <c:yMode val="edge"/>
              <c:x val="2.9850746268656716E-2"/>
              <c:y val="0.3588517354613184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ru-RU"/>
          </a:p>
        </c:txPr>
        <c:crossAx val="3904003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600" b="1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12</xdr:row>
      <xdr:rowOff>28575</xdr:rowOff>
    </xdr:from>
    <xdr:to>
      <xdr:col>6</xdr:col>
      <xdr:colOff>200025</xdr:colOff>
      <xdr:row>25</xdr:row>
      <xdr:rowOff>142875</xdr:rowOff>
    </xdr:to>
    <xdr:graphicFrame macro="">
      <xdr:nvGraphicFramePr>
        <xdr:cNvPr id="16795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12</xdr:row>
      <xdr:rowOff>28575</xdr:rowOff>
    </xdr:from>
    <xdr:to>
      <xdr:col>13</xdr:col>
      <xdr:colOff>0</xdr:colOff>
      <xdr:row>25</xdr:row>
      <xdr:rowOff>152400</xdr:rowOff>
    </xdr:to>
    <xdr:graphicFrame macro="">
      <xdr:nvGraphicFramePr>
        <xdr:cNvPr id="16795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19050</xdr:colOff>
      <xdr:row>26</xdr:row>
      <xdr:rowOff>28575</xdr:rowOff>
    </xdr:from>
    <xdr:to>
      <xdr:col>7</xdr:col>
      <xdr:colOff>19050</xdr:colOff>
      <xdr:row>39</xdr:row>
      <xdr:rowOff>142875</xdr:rowOff>
    </xdr:to>
    <xdr:graphicFrame macro="">
      <xdr:nvGraphicFramePr>
        <xdr:cNvPr id="16795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200025</xdr:colOff>
      <xdr:row>26</xdr:row>
      <xdr:rowOff>9525</xdr:rowOff>
    </xdr:from>
    <xdr:to>
      <xdr:col>12</xdr:col>
      <xdr:colOff>571500</xdr:colOff>
      <xdr:row>39</xdr:row>
      <xdr:rowOff>133350</xdr:rowOff>
    </xdr:to>
    <xdr:graphicFrame macro="">
      <xdr:nvGraphicFramePr>
        <xdr:cNvPr id="16796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40</xdr:row>
      <xdr:rowOff>9525</xdr:rowOff>
    </xdr:from>
    <xdr:to>
      <xdr:col>6</xdr:col>
      <xdr:colOff>95250</xdr:colOff>
      <xdr:row>52</xdr:row>
      <xdr:rowOff>57150</xdr:rowOff>
    </xdr:to>
    <xdr:graphicFrame macro="">
      <xdr:nvGraphicFramePr>
        <xdr:cNvPr id="16796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352425</xdr:colOff>
          <xdr:row>10</xdr:row>
          <xdr:rowOff>66675</xdr:rowOff>
        </xdr:from>
        <xdr:to>
          <xdr:col>11</xdr:col>
          <xdr:colOff>419100</xdr:colOff>
          <xdr:row>11</xdr:row>
          <xdr:rowOff>123825</xdr:rowOff>
        </xdr:to>
        <xdr:sp macro="" textlink="">
          <xdr:nvSpPr>
            <xdr:cNvPr id="167943" name="Button 7" hidden="1">
              <a:extLst>
                <a:ext uri="{63B3BB69-23CF-44E3-9099-C40C66FF867C}">
                  <a14:compatExt spid="_x0000_s16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54"/>
  <sheetViews>
    <sheetView showGridLines="0" tabSelected="1" zoomScale="130" zoomScaleNormal="130" workbookViewId="0">
      <selection activeCell="E5" sqref="E5"/>
    </sheetView>
  </sheetViews>
  <sheetFormatPr defaultRowHeight="12.75" x14ac:dyDescent="0.2"/>
  <cols>
    <col min="1" max="1" width="2.5703125" style="12" customWidth="1"/>
    <col min="2" max="2" width="1.85546875" style="2" customWidth="1"/>
    <col min="3" max="3" width="9.140625" style="2"/>
    <col min="4" max="4" width="10.5703125" style="13" customWidth="1"/>
    <col min="5" max="5" width="8.5703125" style="10" customWidth="1"/>
    <col min="6" max="6" width="8.5703125" style="2" customWidth="1"/>
    <col min="7" max="7" width="2" style="10" customWidth="1"/>
    <col min="8" max="8" width="7.28515625" style="10" customWidth="1"/>
    <col min="9" max="9" width="6.5703125" style="10" customWidth="1"/>
    <col min="10" max="10" width="7.42578125" style="10" customWidth="1"/>
    <col min="11" max="11" width="6.42578125" style="10" customWidth="1"/>
    <col min="12" max="12" width="9.42578125" style="10" customWidth="1"/>
    <col min="13" max="13" width="8.7109375" style="10" customWidth="1"/>
    <col min="14" max="14" width="2" style="2" customWidth="1"/>
    <col min="15" max="15" width="2.42578125" style="2" customWidth="1"/>
    <col min="16" max="16" width="2.5703125" style="1" customWidth="1"/>
    <col min="17" max="18" width="9.140625" style="20"/>
    <col min="19" max="19" width="9.140625" style="23"/>
    <col min="20" max="21" width="9.140625" style="20"/>
    <col min="22" max="22" width="9.140625" style="24"/>
    <col min="23" max="16384" width="9.140625" style="2"/>
  </cols>
  <sheetData>
    <row r="1" spans="1:22" ht="12" customHeight="1" x14ac:dyDescent="0.2">
      <c r="A1" s="14"/>
      <c r="B1" s="15"/>
      <c r="C1" s="15"/>
      <c r="D1" s="63"/>
      <c r="E1" s="63"/>
      <c r="F1" s="63"/>
      <c r="G1" s="63"/>
      <c r="H1" s="63"/>
      <c r="I1" s="63"/>
      <c r="J1" s="63"/>
      <c r="K1" s="63"/>
      <c r="L1" s="63"/>
      <c r="M1" s="63"/>
      <c r="N1" s="15"/>
      <c r="O1" s="15"/>
      <c r="P1" s="1">
        <v>1</v>
      </c>
      <c r="S1" s="20"/>
      <c r="V1" s="20"/>
    </row>
    <row r="2" spans="1:22" ht="31.5" customHeight="1" x14ac:dyDescent="0.2">
      <c r="A2" s="14"/>
      <c r="B2" s="5"/>
      <c r="C2" s="65" t="s">
        <v>28</v>
      </c>
      <c r="D2" s="65"/>
      <c r="E2" s="65"/>
      <c r="F2" s="65"/>
      <c r="G2" s="65"/>
      <c r="H2" s="65"/>
      <c r="I2" s="65"/>
      <c r="J2" s="65"/>
      <c r="K2" s="65"/>
      <c r="L2" s="65"/>
      <c r="M2" s="65"/>
      <c r="N2" s="15"/>
      <c r="O2" s="15"/>
      <c r="P2" s="1">
        <f t="shared" ref="P2:P32" si="0">P1+1</f>
        <v>2</v>
      </c>
      <c r="Q2" s="21">
        <v>1</v>
      </c>
      <c r="R2" s="21">
        <v>0</v>
      </c>
      <c r="S2" s="21">
        <v>758.52660479170038</v>
      </c>
      <c r="T2" s="21">
        <v>1.0546762565034731</v>
      </c>
      <c r="U2" s="21">
        <v>0.9677699407823821</v>
      </c>
      <c r="V2" s="21">
        <v>8.3899999999999999E-3</v>
      </c>
    </row>
    <row r="3" spans="1:22" x14ac:dyDescent="0.2">
      <c r="A3" s="14"/>
      <c r="B3" s="5"/>
      <c r="C3" s="5"/>
      <c r="D3" s="9"/>
      <c r="E3" s="4"/>
      <c r="F3" s="5"/>
      <c r="G3" s="4"/>
      <c r="H3" s="4"/>
      <c r="I3" s="4"/>
      <c r="J3" s="4"/>
      <c r="K3" s="4"/>
      <c r="L3" s="4"/>
      <c r="M3" s="4"/>
      <c r="N3" s="15"/>
      <c r="O3" s="15"/>
      <c r="P3" s="1">
        <f t="shared" si="0"/>
        <v>3</v>
      </c>
      <c r="Q3" s="21">
        <v>5</v>
      </c>
      <c r="R3" s="21">
        <v>11.846693223192775</v>
      </c>
      <c r="S3" s="21">
        <v>747.80486632899897</v>
      </c>
      <c r="T3" s="21">
        <v>1.0843070917056441</v>
      </c>
      <c r="U3" s="21">
        <v>0.86814945618583361</v>
      </c>
      <c r="V3" s="21">
        <v>2.3437841591434335E-3</v>
      </c>
    </row>
    <row r="4" spans="1:22" x14ac:dyDescent="0.2">
      <c r="A4" s="14"/>
      <c r="B4" s="5"/>
      <c r="C4" s="68" t="s">
        <v>0</v>
      </c>
      <c r="D4" s="68"/>
      <c r="E4" s="33">
        <v>80</v>
      </c>
      <c r="F4" s="46" t="s">
        <v>25</v>
      </c>
      <c r="G4" s="64" t="s">
        <v>5</v>
      </c>
      <c r="H4" s="64"/>
      <c r="I4" s="64"/>
      <c r="J4" s="64"/>
      <c r="K4" s="64"/>
      <c r="L4" s="42">
        <f>Bubblepoint_Valko_McCainSI(E4,E6,E7,E5)*10</f>
        <v>105.11251676778227</v>
      </c>
      <c r="M4" s="35" t="s">
        <v>12</v>
      </c>
      <c r="N4" s="15"/>
      <c r="O4" s="15"/>
      <c r="P4" s="1">
        <f t="shared" si="0"/>
        <v>4</v>
      </c>
      <c r="Q4" s="58">
        <v>10</v>
      </c>
      <c r="R4" s="21">
        <v>18.276592861623985</v>
      </c>
      <c r="S4" s="21">
        <v>742.32264546636998</v>
      </c>
      <c r="T4" s="21">
        <v>1.1002481537734838</v>
      </c>
      <c r="U4" s="21">
        <v>0.81976456668959408</v>
      </c>
      <c r="V4" s="21">
        <v>1.3525722594116341E-3</v>
      </c>
    </row>
    <row r="5" spans="1:22" x14ac:dyDescent="0.2">
      <c r="A5" s="14"/>
      <c r="B5" s="5"/>
      <c r="C5" s="68" t="s">
        <v>1</v>
      </c>
      <c r="D5" s="68"/>
      <c r="E5" s="36">
        <v>0.8</v>
      </c>
      <c r="F5" s="37"/>
      <c r="G5" s="64" t="s">
        <v>6</v>
      </c>
      <c r="H5" s="64"/>
      <c r="I5" s="64"/>
      <c r="J5" s="64"/>
      <c r="K5" s="64"/>
      <c r="L5" s="42">
        <f>GOR_VelardeSI(E8/10,L4/10,E6,E7,E5,E4)</f>
        <v>80</v>
      </c>
      <c r="M5" s="46" t="s">
        <v>25</v>
      </c>
      <c r="N5" s="15"/>
      <c r="O5" s="15"/>
      <c r="P5" s="1">
        <f t="shared" si="0"/>
        <v>5</v>
      </c>
      <c r="Q5" s="21">
        <v>15</v>
      </c>
      <c r="R5" s="21">
        <v>23.217898364295934</v>
      </c>
      <c r="S5" s="21">
        <v>738.26041500586985</v>
      </c>
      <c r="T5" s="21">
        <v>1.1124323260683233</v>
      </c>
      <c r="U5" s="21">
        <v>0.78505166721747077</v>
      </c>
      <c r="V5" s="21">
        <v>9.942819626911441E-4</v>
      </c>
    </row>
    <row r="6" spans="1:22" x14ac:dyDescent="0.2">
      <c r="A6" s="14"/>
      <c r="B6" s="5"/>
      <c r="C6" s="68" t="s">
        <v>2</v>
      </c>
      <c r="D6" s="68"/>
      <c r="E6" s="36">
        <v>0.75</v>
      </c>
      <c r="F6" s="37"/>
      <c r="G6" s="64" t="s">
        <v>7</v>
      </c>
      <c r="H6" s="64"/>
      <c r="I6" s="64"/>
      <c r="J6" s="64"/>
      <c r="K6" s="64"/>
      <c r="L6" s="42">
        <f>Density_McCainSI(E8/10,E6,E7,E5,L5,L4/10,L10*10)</f>
        <v>710.89580356501074</v>
      </c>
      <c r="M6" s="47" t="s">
        <v>26</v>
      </c>
      <c r="N6" s="15"/>
      <c r="O6" s="15"/>
      <c r="P6" s="1">
        <f t="shared" si="0"/>
        <v>6</v>
      </c>
      <c r="Q6" s="21">
        <v>20</v>
      </c>
      <c r="R6" s="21">
        <v>27.462168678392235</v>
      </c>
      <c r="S6" s="21">
        <v>734.87000319284743</v>
      </c>
      <c r="T6" s="20">
        <v>1.1228543535708921</v>
      </c>
      <c r="U6" s="21">
        <v>0.75684083879949138</v>
      </c>
      <c r="V6" s="21">
        <v>8.053434699314112E-4</v>
      </c>
    </row>
    <row r="7" spans="1:22" x14ac:dyDescent="0.2">
      <c r="A7" s="14"/>
      <c r="B7" s="5"/>
      <c r="C7" s="68" t="s">
        <v>3</v>
      </c>
      <c r="D7" s="68"/>
      <c r="E7" s="38">
        <v>340</v>
      </c>
      <c r="F7" s="34" t="s">
        <v>18</v>
      </c>
      <c r="G7" s="64" t="s">
        <v>8</v>
      </c>
      <c r="H7" s="64"/>
      <c r="I7" s="64"/>
      <c r="J7" s="64"/>
      <c r="K7" s="64"/>
      <c r="L7" s="40">
        <f>FVF_McCainSI(L5,E6,E5*1000,L6)</f>
        <v>1.2284081515472616</v>
      </c>
      <c r="M7" s="47" t="s">
        <v>25</v>
      </c>
      <c r="N7" s="15"/>
      <c r="O7" s="15"/>
      <c r="P7" s="1">
        <f t="shared" si="0"/>
        <v>7</v>
      </c>
      <c r="Q7" s="21">
        <v>25</v>
      </c>
      <c r="R7" s="21">
        <v>31.29190210804169</v>
      </c>
      <c r="S7" s="21">
        <v>731.88452438620243</v>
      </c>
      <c r="T7" s="21">
        <v>1.1322271771874344</v>
      </c>
      <c r="U7" s="21">
        <v>0.73259042221217574</v>
      </c>
      <c r="V7" s="21">
        <v>6.8732097969438838E-4</v>
      </c>
    </row>
    <row r="8" spans="1:22" x14ac:dyDescent="0.2">
      <c r="A8" s="14"/>
      <c r="B8" s="5"/>
      <c r="C8" s="68" t="s">
        <v>4</v>
      </c>
      <c r="D8" s="68"/>
      <c r="E8" s="33">
        <v>250</v>
      </c>
      <c r="F8" s="37" t="s">
        <v>12</v>
      </c>
      <c r="G8" s="64" t="s">
        <v>9</v>
      </c>
      <c r="H8" s="64"/>
      <c r="I8" s="64"/>
      <c r="J8" s="64"/>
      <c r="K8" s="64"/>
      <c r="L8" s="39">
        <f>DeadOilViscosity_Standing(289,E5)</f>
        <v>3.3474281316803567</v>
      </c>
      <c r="M8" s="35" t="s">
        <v>16</v>
      </c>
      <c r="N8" s="15"/>
      <c r="O8" s="15"/>
      <c r="P8" s="1">
        <f t="shared" si="0"/>
        <v>8</v>
      </c>
      <c r="Q8" s="21">
        <v>30</v>
      </c>
      <c r="R8" s="21">
        <v>34.847065458333461</v>
      </c>
      <c r="S8" s="21">
        <v>729.17196838020163</v>
      </c>
      <c r="T8" s="21">
        <v>1.1409045866674636</v>
      </c>
      <c r="U8" s="21">
        <v>0.7110524707095921</v>
      </c>
      <c r="V8" s="21">
        <v>6.0606751312639008E-4</v>
      </c>
    </row>
    <row r="9" spans="1:22" x14ac:dyDescent="0.2">
      <c r="A9" s="14"/>
      <c r="B9" s="5"/>
      <c r="C9" s="67"/>
      <c r="D9" s="67"/>
      <c r="E9" s="67"/>
      <c r="F9" s="67"/>
      <c r="G9" s="64" t="s">
        <v>10</v>
      </c>
      <c r="H9" s="64"/>
      <c r="I9" s="64"/>
      <c r="J9" s="64"/>
      <c r="K9" s="64"/>
      <c r="L9" s="39">
        <f>Oil_Viscosity_Standing(L5,DeadOilViscosity_Standing(E7,E5),E8/10,L4/10)</f>
        <v>0.57456579015250286</v>
      </c>
      <c r="M9" s="35" t="s">
        <v>16</v>
      </c>
      <c r="N9" s="15"/>
      <c r="O9" s="15"/>
      <c r="P9" s="1">
        <f t="shared" si="0"/>
        <v>9</v>
      </c>
      <c r="Q9" s="20">
        <v>35</v>
      </c>
      <c r="R9" s="21">
        <v>38.209176148237646</v>
      </c>
      <c r="S9" s="21">
        <v>726.65567080959386</v>
      </c>
      <c r="T9" s="21">
        <v>1.1490929724630221</v>
      </c>
      <c r="U9" s="21">
        <v>0.69150810862276646</v>
      </c>
      <c r="V9" s="21">
        <v>5.4647938564727941E-4</v>
      </c>
    </row>
    <row r="10" spans="1:22" x14ac:dyDescent="0.2">
      <c r="A10" s="14"/>
      <c r="B10" s="5"/>
      <c r="C10" s="66" t="s">
        <v>19</v>
      </c>
      <c r="D10" s="66"/>
      <c r="E10" s="66"/>
      <c r="F10" s="66"/>
      <c r="G10" s="64" t="s">
        <v>11</v>
      </c>
      <c r="H10" s="64"/>
      <c r="I10" s="64"/>
      <c r="J10" s="64"/>
      <c r="K10" s="64"/>
      <c r="L10" s="41">
        <f>Compressibility_Oil_VB(L5,E6,E7,E5,E8)</f>
        <v>1.2348E-4</v>
      </c>
      <c r="M10" s="35" t="s">
        <v>17</v>
      </c>
      <c r="N10" s="15"/>
      <c r="O10" s="15"/>
      <c r="P10" s="1">
        <f t="shared" si="0"/>
        <v>10</v>
      </c>
      <c r="Q10" s="21">
        <v>40</v>
      </c>
      <c r="R10" s="21">
        <v>41.430650096782024</v>
      </c>
      <c r="S10" s="21">
        <v>724.28653859486326</v>
      </c>
      <c r="T10" s="21">
        <v>1.1569252713983249</v>
      </c>
      <c r="U10" s="21">
        <v>0.67350095130437315</v>
      </c>
      <c r="V10" s="21">
        <v>5.008003169298936E-4</v>
      </c>
    </row>
    <row r="11" spans="1:22" x14ac:dyDescent="0.2">
      <c r="A11" s="14"/>
      <c r="B11" s="5"/>
      <c r="C11" s="31"/>
      <c r="D11" s="31"/>
      <c r="E11" s="31"/>
      <c r="F11" s="31"/>
      <c r="G11" s="32"/>
      <c r="H11" s="32"/>
      <c r="I11" s="32"/>
      <c r="J11" s="32"/>
      <c r="K11" s="32"/>
      <c r="L11" s="19"/>
      <c r="M11" s="17"/>
      <c r="N11" s="15"/>
      <c r="O11" s="15"/>
      <c r="P11" s="1">
        <f t="shared" si="0"/>
        <v>11</v>
      </c>
      <c r="Q11" s="21">
        <v>45</v>
      </c>
      <c r="R11" s="21">
        <v>44.547542196639171</v>
      </c>
      <c r="S11" s="21">
        <v>722.03098698163865</v>
      </c>
      <c r="T11" s="21">
        <v>1.164493085114066</v>
      </c>
      <c r="U11" s="21">
        <v>0.6567215675320861</v>
      </c>
      <c r="V11" s="21">
        <v>4.6461909682790224E-4</v>
      </c>
    </row>
    <row r="12" spans="1:22" x14ac:dyDescent="0.2">
      <c r="A12" s="14"/>
      <c r="B12" s="5"/>
      <c r="C12" s="48" t="s">
        <v>27</v>
      </c>
      <c r="D12" s="6"/>
      <c r="E12" s="7"/>
      <c r="F12" s="8"/>
      <c r="G12" s="7"/>
      <c r="H12" s="7"/>
      <c r="I12" s="7"/>
      <c r="J12" s="7"/>
      <c r="K12" s="7"/>
      <c r="L12" s="7"/>
      <c r="M12" s="7"/>
      <c r="N12" s="15"/>
      <c r="O12" s="15"/>
      <c r="P12" s="1">
        <f t="shared" si="0"/>
        <v>12</v>
      </c>
      <c r="Q12" s="21">
        <v>50</v>
      </c>
      <c r="R12" s="21">
        <v>47.58590111614177</v>
      </c>
      <c r="S12" s="21">
        <v>719.86492047786658</v>
      </c>
      <c r="T12" s="21">
        <v>1.1718627094504135</v>
      </c>
      <c r="U12" s="21">
        <v>0.64094996601306709</v>
      </c>
      <c r="V12" s="21">
        <v>4.352327642727167E-4</v>
      </c>
    </row>
    <row r="13" spans="1:22" x14ac:dyDescent="0.2">
      <c r="A13" s="14"/>
      <c r="B13" s="5"/>
      <c r="C13" s="5"/>
      <c r="D13" s="9"/>
      <c r="E13" s="4"/>
      <c r="F13" s="5"/>
      <c r="G13" s="4"/>
      <c r="H13" s="4"/>
      <c r="I13" s="4"/>
      <c r="J13" s="4"/>
      <c r="K13" s="4"/>
      <c r="L13" s="4"/>
      <c r="M13" s="4"/>
      <c r="N13" s="15"/>
      <c r="O13" s="15"/>
      <c r="P13" s="1">
        <f t="shared" si="0"/>
        <v>13</v>
      </c>
      <c r="Q13" s="21">
        <v>55</v>
      </c>
      <c r="R13" s="21">
        <v>50.565263614762294</v>
      </c>
      <c r="S13" s="21">
        <v>717.77042214268727</v>
      </c>
      <c r="T13" s="21">
        <v>1.1790839537521223</v>
      </c>
      <c r="U13" s="21">
        <v>0.62602404269317113</v>
      </c>
      <c r="V13" s="21">
        <v>4.1088798319542186E-4</v>
      </c>
    </row>
    <row r="14" spans="1:22" x14ac:dyDescent="0.2">
      <c r="A14" s="14"/>
      <c r="B14" s="5"/>
      <c r="C14" s="5"/>
      <c r="D14" s="9"/>
      <c r="E14" s="4"/>
      <c r="F14" s="5"/>
      <c r="G14" s="4"/>
      <c r="H14" s="4"/>
      <c r="I14" s="4"/>
      <c r="J14" s="4"/>
      <c r="K14" s="4"/>
      <c r="L14" s="4"/>
      <c r="M14" s="4"/>
      <c r="N14" s="15"/>
      <c r="O14" s="15"/>
      <c r="P14" s="1">
        <f t="shared" si="0"/>
        <v>14</v>
      </c>
      <c r="Q14" s="21">
        <v>60</v>
      </c>
      <c r="R14" s="21">
        <v>53.500720849362857</v>
      </c>
      <c r="S14" s="21">
        <v>715.73379534310538</v>
      </c>
      <c r="T14" s="21">
        <v>1.1861953592015624</v>
      </c>
      <c r="U14" s="21">
        <v>0.61182096946992459</v>
      </c>
      <c r="V14" s="21">
        <v>3.9039504264451593E-4</v>
      </c>
    </row>
    <row r="15" spans="1:22" x14ac:dyDescent="0.2">
      <c r="A15" s="14"/>
      <c r="B15" s="5"/>
      <c r="C15" s="5"/>
      <c r="D15" s="9"/>
      <c r="E15" s="4"/>
      <c r="F15" s="5"/>
      <c r="G15" s="4"/>
      <c r="H15" s="4"/>
      <c r="I15" s="4"/>
      <c r="J15" s="4"/>
      <c r="K15" s="4"/>
      <c r="L15" s="4"/>
      <c r="M15" s="4"/>
      <c r="N15" s="15"/>
      <c r="O15" s="15"/>
      <c r="P15" s="1">
        <f t="shared" si="0"/>
        <v>15</v>
      </c>
      <c r="Q15" s="21">
        <v>65</v>
      </c>
      <c r="R15" s="21">
        <v>56.404211267370272</v>
      </c>
      <c r="S15" s="21">
        <v>713.7443381933183</v>
      </c>
      <c r="T15" s="21">
        <v>1.1932274659590478</v>
      </c>
      <c r="U15" s="21">
        <v>0.59824558048351739</v>
      </c>
      <c r="V15" s="21">
        <v>3.7291666717124684E-4</v>
      </c>
    </row>
    <row r="16" spans="1:22" x14ac:dyDescent="0.2">
      <c r="A16" s="14"/>
      <c r="B16" s="5"/>
      <c r="C16" s="5"/>
      <c r="D16" s="9"/>
      <c r="E16" s="4"/>
      <c r="F16" s="5"/>
      <c r="G16" s="4"/>
      <c r="H16" s="4"/>
      <c r="I16" s="4"/>
      <c r="J16" s="4"/>
      <c r="K16" s="4"/>
      <c r="L16" s="4"/>
      <c r="M16" s="4"/>
      <c r="N16" s="15"/>
      <c r="O16" s="15"/>
      <c r="P16" s="1">
        <f t="shared" si="0"/>
        <v>16</v>
      </c>
      <c r="Q16" s="21">
        <v>70</v>
      </c>
      <c r="R16" s="21">
        <v>59.285367030391249</v>
      </c>
      <c r="S16" s="21">
        <v>711.79354096509951</v>
      </c>
      <c r="T16" s="21">
        <v>1.2002049535094965</v>
      </c>
      <c r="U16" s="21">
        <v>0.58522279061711435</v>
      </c>
      <c r="V16" s="21">
        <v>3.5784554479342763E-4</v>
      </c>
    </row>
    <row r="17" spans="1:22" x14ac:dyDescent="0.2">
      <c r="A17" s="14"/>
      <c r="B17" s="5"/>
      <c r="C17" s="5"/>
      <c r="D17" s="9"/>
      <c r="E17" s="4"/>
      <c r="F17" s="5"/>
      <c r="G17" s="4"/>
      <c r="H17" s="4"/>
      <c r="I17" s="4"/>
      <c r="J17" s="4"/>
      <c r="K17" s="4"/>
      <c r="L17" s="4"/>
      <c r="M17" s="4"/>
      <c r="N17" s="15"/>
      <c r="O17" s="15"/>
      <c r="P17" s="1">
        <f t="shared" si="0"/>
        <v>17</v>
      </c>
      <c r="Q17" s="21">
        <v>75</v>
      </c>
      <c r="R17" s="21">
        <v>62.152089105968777</v>
      </c>
      <c r="S17" s="21">
        <v>709.8745409698555</v>
      </c>
      <c r="T17" s="21">
        <v>1.2071480952386215</v>
      </c>
      <c r="U17" s="21">
        <v>0.5726924597377262</v>
      </c>
      <c r="V17" s="21">
        <v>3.4472982718369627E-4</v>
      </c>
    </row>
    <row r="18" spans="1:22" x14ac:dyDescent="0.2">
      <c r="A18" s="14"/>
      <c r="B18" s="5"/>
      <c r="C18" s="5"/>
      <c r="D18" s="9"/>
      <c r="E18" s="4"/>
      <c r="F18" s="5"/>
      <c r="G18" s="4"/>
      <c r="H18" s="4"/>
      <c r="I18" s="4"/>
      <c r="J18" s="4"/>
      <c r="K18" s="4"/>
      <c r="L18" s="4"/>
      <c r="M18" s="4"/>
      <c r="N18" s="15"/>
      <c r="O18" s="15"/>
      <c r="P18" s="1">
        <f t="shared" si="0"/>
        <v>18</v>
      </c>
      <c r="Q18" s="21">
        <v>80</v>
      </c>
      <c r="R18" s="21">
        <v>65.010950322272848</v>
      </c>
      <c r="S18" s="21">
        <v>707.98173986259019</v>
      </c>
      <c r="T18" s="21">
        <v>1.2140737793895831</v>
      </c>
      <c r="U18" s="21">
        <v>0.56060580449689612</v>
      </c>
      <c r="V18" s="21">
        <v>3.3322596300698344E-4</v>
      </c>
    </row>
    <row r="19" spans="1:22" x14ac:dyDescent="0.2">
      <c r="A19" s="14"/>
      <c r="B19" s="5"/>
      <c r="C19" s="5"/>
      <c r="D19" s="9"/>
      <c r="E19" s="4"/>
      <c r="F19" s="5"/>
      <c r="G19" s="4"/>
      <c r="H19" s="4"/>
      <c r="I19" s="4"/>
      <c r="J19" s="4"/>
      <c r="K19" s="4"/>
      <c r="L19" s="4"/>
      <c r="M19" s="4"/>
      <c r="N19" s="15"/>
      <c r="O19" s="15"/>
      <c r="P19" s="1">
        <f t="shared" si="0"/>
        <v>19</v>
      </c>
      <c r="Q19" s="21">
        <v>85</v>
      </c>
      <c r="R19" s="21">
        <v>67.867485390112847</v>
      </c>
      <c r="S19" s="21">
        <v>706.11052868162869</v>
      </c>
      <c r="T19" s="21">
        <v>1.2209962432653561</v>
      </c>
      <c r="U19" s="21">
        <v>0.54892282478285137</v>
      </c>
      <c r="V19" s="21">
        <v>3.2306780464260847E-4</v>
      </c>
    </row>
    <row r="20" spans="1:22" x14ac:dyDescent="0.2">
      <c r="A20" s="14"/>
      <c r="B20" s="5"/>
      <c r="C20" s="5"/>
      <c r="D20" s="9"/>
      <c r="E20" s="4"/>
      <c r="F20" s="5"/>
      <c r="G20" s="4"/>
      <c r="H20" s="4"/>
      <c r="I20" s="4"/>
      <c r="J20" s="4"/>
      <c r="K20" s="4"/>
      <c r="L20" s="4"/>
      <c r="M20" s="4"/>
      <c r="N20" s="15"/>
      <c r="O20" s="15"/>
      <c r="P20" s="1">
        <f t="shared" si="0"/>
        <v>20</v>
      </c>
      <c r="Q20" s="21">
        <v>90</v>
      </c>
      <c r="R20" s="21">
        <v>70.726404371858592</v>
      </c>
      <c r="S20" s="21">
        <v>704.25708516898715</v>
      </c>
      <c r="T20" s="21">
        <v>1.2279276142640196</v>
      </c>
      <c r="U20" s="21">
        <v>0.5376104158964925</v>
      </c>
      <c r="V20" s="21">
        <v>3.1404577364991404E-4</v>
      </c>
    </row>
    <row r="21" spans="1:22" x14ac:dyDescent="0.2">
      <c r="A21" s="14"/>
      <c r="B21" s="5"/>
      <c r="C21" s="5"/>
      <c r="D21" s="9"/>
      <c r="E21" s="4"/>
      <c r="F21" s="5"/>
      <c r="G21" s="4"/>
      <c r="H21" s="4"/>
      <c r="I21" s="4"/>
      <c r="J21" s="4"/>
      <c r="K21" s="4"/>
      <c r="L21" s="4"/>
      <c r="M21" s="4"/>
      <c r="N21" s="15"/>
      <c r="O21" s="15"/>
      <c r="P21" s="1">
        <f t="shared" si="0"/>
        <v>21</v>
      </c>
      <c r="Q21" s="21">
        <v>95</v>
      </c>
      <c r="R21" s="21">
        <v>73.591752928264356</v>
      </c>
      <c r="S21" s="21">
        <v>702.41822159179696</v>
      </c>
      <c r="T21" s="21">
        <v>1.2348783161218126</v>
      </c>
      <c r="U21" s="21">
        <v>0.52664095644947817</v>
      </c>
      <c r="V21" s="21">
        <v>3.0599244813518184E-4</v>
      </c>
    </row>
    <row r="22" spans="1:22" x14ac:dyDescent="0.2">
      <c r="A22" s="14"/>
      <c r="B22" s="5"/>
      <c r="C22" s="5"/>
      <c r="D22" s="9"/>
      <c r="E22" s="4"/>
      <c r="F22" s="5"/>
      <c r="G22" s="4"/>
      <c r="H22" s="4"/>
      <c r="I22" s="4"/>
      <c r="J22" s="4"/>
      <c r="K22" s="4"/>
      <c r="L22" s="4"/>
      <c r="M22" s="4"/>
      <c r="N22" s="15"/>
      <c r="O22" s="15"/>
      <c r="P22" s="1">
        <f t="shared" si="0"/>
        <v>22</v>
      </c>
      <c r="Q22" s="21">
        <v>100</v>
      </c>
      <c r="R22" s="21">
        <v>76.467034709064592</v>
      </c>
      <c r="S22" s="21">
        <v>700.59126844407297</v>
      </c>
      <c r="T22" s="21">
        <v>1.2418573792876275</v>
      </c>
      <c r="U22" s="21">
        <v>0.51599123393040247</v>
      </c>
      <c r="V22" s="21">
        <v>2.9877236753247163E-4</v>
      </c>
    </row>
    <row r="23" spans="1:22" x14ac:dyDescent="0.2">
      <c r="A23" s="14"/>
      <c r="B23" s="5"/>
      <c r="C23" s="5"/>
      <c r="D23" s="9"/>
      <c r="E23" s="4"/>
      <c r="F23" s="5"/>
      <c r="G23" s="4"/>
      <c r="H23" s="4"/>
      <c r="I23" s="4"/>
      <c r="J23" s="4"/>
      <c r="K23" s="4"/>
      <c r="L23" s="4"/>
      <c r="M23" s="4"/>
      <c r="N23" s="15"/>
      <c r="O23" s="15"/>
      <c r="P23" s="1">
        <f t="shared" si="0"/>
        <v>23</v>
      </c>
      <c r="Q23" s="21">
        <v>105</v>
      </c>
      <c r="R23" s="21">
        <v>79.355306270355456</v>
      </c>
      <c r="S23" s="21">
        <v>698.77398418482312</v>
      </c>
      <c r="T23" s="21">
        <v>1.2488726816821603</v>
      </c>
      <c r="U23" s="21">
        <v>0.50564161483103676</v>
      </c>
      <c r="V23" s="21">
        <v>2.9227467678066561E-4</v>
      </c>
    </row>
    <row r="24" spans="1:22" x14ac:dyDescent="0.2">
      <c r="A24" s="14"/>
      <c r="B24" s="5"/>
      <c r="C24" s="5"/>
      <c r="D24" s="9"/>
      <c r="E24" s="4"/>
      <c r="F24" s="5"/>
      <c r="G24" s="4"/>
      <c r="H24" s="4"/>
      <c r="I24" s="4"/>
      <c r="J24" s="4"/>
      <c r="K24" s="4"/>
      <c r="L24" s="4"/>
      <c r="M24" s="4"/>
      <c r="N24" s="15"/>
      <c r="O24" s="15"/>
      <c r="P24" s="1">
        <f t="shared" si="0"/>
        <v>24</v>
      </c>
      <c r="Q24" s="21">
        <v>110</v>
      </c>
      <c r="R24" s="21">
        <v>80</v>
      </c>
      <c r="S24" s="21">
        <v>699.24890703038068</v>
      </c>
      <c r="T24" s="21">
        <v>1.2488688809091819</v>
      </c>
      <c r="U24" s="21">
        <v>0.50577925106294563</v>
      </c>
      <c r="V24" s="21">
        <v>2.8063636363636366E-4</v>
      </c>
    </row>
    <row r="25" spans="1:22" x14ac:dyDescent="0.2">
      <c r="A25" s="14"/>
      <c r="B25" s="5"/>
      <c r="C25" s="5"/>
      <c r="D25" s="9"/>
      <c r="E25" s="4"/>
      <c r="F25" s="5"/>
      <c r="G25" s="4"/>
      <c r="H25" s="4"/>
      <c r="I25" s="4"/>
      <c r="J25" s="4"/>
      <c r="K25" s="4"/>
      <c r="L25" s="4"/>
      <c r="M25" s="4"/>
      <c r="N25" s="15"/>
      <c r="O25" s="15"/>
      <c r="P25" s="1">
        <f t="shared" si="0"/>
        <v>25</v>
      </c>
      <c r="Q25" s="21">
        <v>115</v>
      </c>
      <c r="R25" s="21">
        <v>80</v>
      </c>
      <c r="S25" s="21">
        <v>700.14629629299623</v>
      </c>
      <c r="T25" s="21">
        <v>1.2472681846974381</v>
      </c>
      <c r="U25" s="21">
        <v>0.50823591317328698</v>
      </c>
      <c r="V25" s="21">
        <v>2.6843478260869563E-4</v>
      </c>
    </row>
    <row r="26" spans="1:22" x14ac:dyDescent="0.2">
      <c r="A26" s="14"/>
      <c r="B26" s="5"/>
      <c r="C26" s="5"/>
      <c r="D26" s="9"/>
      <c r="E26" s="4"/>
      <c r="F26" s="5"/>
      <c r="G26" s="4"/>
      <c r="H26" s="4"/>
      <c r="I26" s="4"/>
      <c r="J26" s="4"/>
      <c r="K26" s="4"/>
      <c r="L26" s="4"/>
      <c r="M26" s="4"/>
      <c r="N26" s="15"/>
      <c r="O26" s="15"/>
      <c r="P26" s="1">
        <f t="shared" si="0"/>
        <v>26</v>
      </c>
      <c r="Q26" s="21">
        <v>120</v>
      </c>
      <c r="R26" s="21">
        <v>80</v>
      </c>
      <c r="S26" s="21">
        <v>700.96991479550775</v>
      </c>
      <c r="T26" s="21">
        <v>1.2458026822089177</v>
      </c>
      <c r="U26" s="21">
        <v>0.51069257528362832</v>
      </c>
      <c r="V26" s="21">
        <v>2.5724999999999999E-4</v>
      </c>
    </row>
    <row r="27" spans="1:22" x14ac:dyDescent="0.2">
      <c r="A27" s="14"/>
      <c r="B27" s="5"/>
      <c r="C27" s="5"/>
      <c r="D27" s="9"/>
      <c r="E27" s="4"/>
      <c r="F27" s="5"/>
      <c r="G27" s="4"/>
      <c r="H27" s="4"/>
      <c r="I27" s="4"/>
      <c r="J27" s="4"/>
      <c r="K27" s="4"/>
      <c r="L27" s="4"/>
      <c r="M27" s="4"/>
      <c r="N27" s="15"/>
      <c r="O27" s="15"/>
      <c r="P27" s="1">
        <f t="shared" si="0"/>
        <v>27</v>
      </c>
      <c r="Q27" s="21">
        <v>125</v>
      </c>
      <c r="R27" s="21">
        <v>80</v>
      </c>
      <c r="S27" s="21">
        <v>701.72849949279953</v>
      </c>
      <c r="T27" s="21">
        <v>1.244455940767959</v>
      </c>
      <c r="U27" s="21">
        <v>0.51314923739396956</v>
      </c>
      <c r="V27" s="21">
        <v>2.4696000000000001E-4</v>
      </c>
    </row>
    <row r="28" spans="1:22" x14ac:dyDescent="0.2">
      <c r="A28" s="14"/>
      <c r="B28" s="5"/>
      <c r="C28" s="5"/>
      <c r="D28" s="9"/>
      <c r="E28" s="4"/>
      <c r="F28" s="5"/>
      <c r="G28" s="4"/>
      <c r="H28" s="4"/>
      <c r="I28" s="4"/>
      <c r="J28" s="4"/>
      <c r="K28" s="4"/>
      <c r="L28" s="4"/>
      <c r="M28" s="4"/>
      <c r="N28" s="15"/>
      <c r="O28" s="15"/>
      <c r="P28" s="1">
        <f t="shared" si="0"/>
        <v>28</v>
      </c>
      <c r="Q28" s="21">
        <v>130</v>
      </c>
      <c r="R28" s="21">
        <v>80</v>
      </c>
      <c r="S28" s="21">
        <v>702.42946014139613</v>
      </c>
      <c r="T28" s="21">
        <v>1.2432140870404473</v>
      </c>
      <c r="U28" s="21">
        <v>0.51560589950431091</v>
      </c>
      <c r="V28" s="21">
        <v>2.3746153846153847E-4</v>
      </c>
    </row>
    <row r="29" spans="1:22" x14ac:dyDescent="0.2">
      <c r="A29" s="14"/>
      <c r="B29" s="5"/>
      <c r="C29" s="5"/>
      <c r="D29" s="9"/>
      <c r="E29" s="4"/>
      <c r="F29" s="5"/>
      <c r="G29" s="4"/>
      <c r="H29" s="4"/>
      <c r="I29" s="4"/>
      <c r="J29" s="4"/>
      <c r="K29" s="4"/>
      <c r="L29" s="4"/>
      <c r="M29" s="4"/>
      <c r="N29" s="15"/>
      <c r="O29" s="15"/>
      <c r="P29" s="1">
        <f t="shared" si="0"/>
        <v>29</v>
      </c>
      <c r="Q29" s="21">
        <v>135</v>
      </c>
      <c r="R29" s="21">
        <v>80</v>
      </c>
      <c r="S29" s="21">
        <v>703.07912207890649</v>
      </c>
      <c r="T29" s="21">
        <v>1.2420653274667897</v>
      </c>
      <c r="U29" s="21">
        <v>0.51806256161465225</v>
      </c>
      <c r="V29" s="21">
        <v>2.2866666666666668E-4</v>
      </c>
    </row>
    <row r="30" spans="1:22" x14ac:dyDescent="0.2">
      <c r="A30" s="14"/>
      <c r="B30" s="5"/>
      <c r="C30" s="5"/>
      <c r="D30" s="9"/>
      <c r="E30" s="4"/>
      <c r="F30" s="5"/>
      <c r="G30" s="4"/>
      <c r="H30" s="4"/>
      <c r="I30" s="4"/>
      <c r="J30" s="4"/>
      <c r="K30" s="4"/>
      <c r="L30" s="4"/>
      <c r="M30" s="4"/>
      <c r="N30" s="15"/>
      <c r="O30" s="15"/>
      <c r="P30" s="1">
        <f t="shared" si="0"/>
        <v>30</v>
      </c>
      <c r="Q30" s="21">
        <v>140</v>
      </c>
      <c r="R30" s="21">
        <v>80</v>
      </c>
      <c r="S30" s="21">
        <v>703.68291759396982</v>
      </c>
      <c r="T30" s="21">
        <v>1.2409995726283685</v>
      </c>
      <c r="U30" s="21">
        <v>0.5205192237249936</v>
      </c>
      <c r="V30" s="21">
        <v>2.2049999999999999E-4</v>
      </c>
    </row>
    <row r="31" spans="1:22" x14ac:dyDescent="0.2">
      <c r="A31" s="14"/>
      <c r="B31" s="5"/>
      <c r="C31" s="5"/>
      <c r="D31" s="9"/>
      <c r="E31" s="4"/>
      <c r="F31" s="5"/>
      <c r="G31" s="4"/>
      <c r="H31" s="4"/>
      <c r="I31" s="4"/>
      <c r="J31" s="4"/>
      <c r="K31" s="4"/>
      <c r="L31" s="4"/>
      <c r="M31" s="4"/>
      <c r="N31" s="15"/>
      <c r="O31" s="15"/>
      <c r="P31" s="1">
        <f t="shared" si="0"/>
        <v>31</v>
      </c>
      <c r="Q31" s="21">
        <v>145</v>
      </c>
      <c r="R31" s="21">
        <v>80</v>
      </c>
      <c r="S31" s="21">
        <v>704.24553815371996</v>
      </c>
      <c r="T31" s="21">
        <v>1.2400081401855982</v>
      </c>
      <c r="U31" s="21">
        <v>0.52297588583533494</v>
      </c>
      <c r="V31" s="21">
        <v>2.1289655172413796E-4</v>
      </c>
    </row>
    <row r="32" spans="1:22" x14ac:dyDescent="0.2">
      <c r="A32" s="14"/>
      <c r="B32" s="5"/>
      <c r="C32" s="5"/>
      <c r="D32" s="9"/>
      <c r="E32" s="4"/>
      <c r="F32" s="5"/>
      <c r="G32" s="4"/>
      <c r="H32" s="4"/>
      <c r="I32" s="4"/>
      <c r="J32" s="4"/>
      <c r="K32" s="4"/>
      <c r="L32" s="4"/>
      <c r="M32" s="4"/>
      <c r="N32" s="15"/>
      <c r="O32" s="15"/>
      <c r="P32" s="1">
        <f t="shared" si="0"/>
        <v>32</v>
      </c>
      <c r="Q32" s="21">
        <v>150</v>
      </c>
      <c r="R32" s="21">
        <v>80</v>
      </c>
      <c r="S32" s="21">
        <v>704.77105652096077</v>
      </c>
      <c r="T32" s="21">
        <v>1.2390835178601405</v>
      </c>
      <c r="U32" s="21">
        <v>0.52543254794567629</v>
      </c>
      <c r="V32" s="21">
        <v>2.0579999999999999E-4</v>
      </c>
    </row>
    <row r="33" spans="1:22" x14ac:dyDescent="0.2">
      <c r="A33" s="14"/>
      <c r="B33" s="5"/>
      <c r="C33" s="5"/>
      <c r="D33" s="9"/>
      <c r="E33" s="4"/>
      <c r="F33" s="5"/>
      <c r="G33" s="4"/>
      <c r="H33" s="4"/>
      <c r="I33" s="4"/>
      <c r="J33" s="4"/>
      <c r="K33" s="4"/>
      <c r="L33" s="4"/>
      <c r="M33" s="4"/>
      <c r="N33" s="15"/>
      <c r="O33" s="15"/>
      <c r="P33" s="1">
        <f t="shared" ref="P33:P64" si="1">P32+1</f>
        <v>33</v>
      </c>
      <c r="Q33" s="21">
        <v>155</v>
      </c>
      <c r="R33" s="21">
        <v>80</v>
      </c>
      <c r="S33" s="21">
        <v>705.26302548741626</v>
      </c>
      <c r="T33" s="21">
        <v>1.2382191727639087</v>
      </c>
      <c r="U33" s="21">
        <v>0.52788921005601763</v>
      </c>
      <c r="V33" s="21">
        <v>1.9916129032258065E-4</v>
      </c>
    </row>
    <row r="34" spans="1:22" x14ac:dyDescent="0.2">
      <c r="A34" s="14"/>
      <c r="B34" s="5"/>
      <c r="C34" s="5"/>
      <c r="D34" s="9"/>
      <c r="E34" s="4"/>
      <c r="F34" s="5"/>
      <c r="G34" s="4"/>
      <c r="H34" s="4"/>
      <c r="I34" s="4"/>
      <c r="J34" s="4"/>
      <c r="K34" s="4"/>
      <c r="L34" s="4"/>
      <c r="M34" s="4"/>
      <c r="N34" s="15"/>
      <c r="O34" s="15"/>
      <c r="P34" s="1">
        <f t="shared" si="1"/>
        <v>34</v>
      </c>
      <c r="Q34" s="21">
        <v>160</v>
      </c>
      <c r="R34" s="21">
        <v>80</v>
      </c>
      <c r="S34" s="21">
        <v>705.72455828532327</v>
      </c>
      <c r="T34" s="21">
        <v>1.2374093968357247</v>
      </c>
      <c r="U34" s="21">
        <v>0.53034587216635887</v>
      </c>
      <c r="V34" s="21">
        <v>1.9293750000000002E-4</v>
      </c>
    </row>
    <row r="35" spans="1:22" x14ac:dyDescent="0.2">
      <c r="A35" s="14"/>
      <c r="B35" s="5"/>
      <c r="C35" s="5"/>
      <c r="D35" s="9"/>
      <c r="E35" s="4"/>
      <c r="F35" s="5"/>
      <c r="G35" s="4"/>
      <c r="H35" s="4"/>
      <c r="I35" s="4"/>
      <c r="J35" s="4"/>
      <c r="K35" s="4"/>
      <c r="L35" s="4"/>
      <c r="M35" s="4"/>
      <c r="N35" s="15"/>
      <c r="O35" s="15"/>
      <c r="P35" s="1">
        <f t="shared" si="1"/>
        <v>35</v>
      </c>
      <c r="Q35" s="21">
        <v>165</v>
      </c>
      <c r="R35" s="21">
        <v>80</v>
      </c>
      <c r="S35" s="21">
        <v>706.15839452478679</v>
      </c>
      <c r="T35" s="21">
        <v>1.2366491806525532</v>
      </c>
      <c r="U35" s="21">
        <v>0.53280253427670021</v>
      </c>
      <c r="V35" s="21">
        <v>1.8709090909090908E-4</v>
      </c>
    </row>
    <row r="36" spans="1:22" x14ac:dyDescent="0.2">
      <c r="A36" s="14"/>
      <c r="B36" s="5"/>
      <c r="C36" s="5"/>
      <c r="D36" s="9"/>
      <c r="E36" s="4"/>
      <c r="F36" s="5"/>
      <c r="G36" s="4"/>
      <c r="H36" s="4"/>
      <c r="I36" s="4"/>
      <c r="J36" s="4"/>
      <c r="K36" s="4"/>
      <c r="L36" s="4"/>
      <c r="M36" s="4"/>
      <c r="N36" s="15"/>
      <c r="O36" s="15"/>
      <c r="P36" s="1">
        <f t="shared" si="1"/>
        <v>36</v>
      </c>
      <c r="Q36" s="21">
        <v>170</v>
      </c>
      <c r="R36" s="21">
        <v>80</v>
      </c>
      <c r="S36" s="21">
        <v>706.56695460789001</v>
      </c>
      <c r="T36" s="21">
        <v>1.2359341097187628</v>
      </c>
      <c r="U36" s="21">
        <v>0.53525919638704156</v>
      </c>
      <c r="V36" s="21">
        <v>1.8158823529411766E-4</v>
      </c>
    </row>
    <row r="37" spans="1:22" x14ac:dyDescent="0.2">
      <c r="A37" s="14"/>
      <c r="B37" s="5"/>
      <c r="C37" s="5"/>
      <c r="D37" s="9"/>
      <c r="E37" s="4"/>
      <c r="F37" s="5"/>
      <c r="G37" s="4"/>
      <c r="H37" s="4"/>
      <c r="I37" s="4"/>
      <c r="J37" s="4"/>
      <c r="K37" s="4"/>
      <c r="L37" s="4"/>
      <c r="M37" s="4"/>
      <c r="N37" s="15"/>
      <c r="O37" s="15"/>
      <c r="P37" s="1">
        <f t="shared" si="1"/>
        <v>37</v>
      </c>
      <c r="Q37" s="21">
        <v>175</v>
      </c>
      <c r="R37" s="21">
        <v>80</v>
      </c>
      <c r="S37" s="21">
        <v>706.9523849024356</v>
      </c>
      <c r="T37" s="21">
        <v>1.2352602786968707</v>
      </c>
      <c r="U37" s="21">
        <v>0.5377158584973829</v>
      </c>
      <c r="V37" s="21">
        <v>1.7640000000000001E-4</v>
      </c>
    </row>
    <row r="38" spans="1:22" x14ac:dyDescent="0.2">
      <c r="A38" s="14"/>
      <c r="B38" s="5"/>
      <c r="C38" s="5"/>
      <c r="D38" s="9"/>
      <c r="E38" s="4"/>
      <c r="F38" s="5"/>
      <c r="G38" s="4"/>
      <c r="H38" s="4"/>
      <c r="I38" s="4"/>
      <c r="J38" s="4"/>
      <c r="K38" s="4"/>
      <c r="L38" s="4"/>
      <c r="M38" s="4"/>
      <c r="N38" s="15"/>
      <c r="O38" s="15"/>
      <c r="P38" s="1">
        <f t="shared" si="1"/>
        <v>38</v>
      </c>
      <c r="Q38" s="21">
        <v>180</v>
      </c>
      <c r="R38" s="21">
        <v>80</v>
      </c>
      <c r="S38" s="21">
        <v>707.31659545556852</v>
      </c>
      <c r="T38" s="21">
        <v>1.2346242200602464</v>
      </c>
      <c r="U38" s="21">
        <v>0.54017252060772425</v>
      </c>
      <c r="V38" s="21">
        <v>1.7149999999999999E-4</v>
      </c>
    </row>
    <row r="39" spans="1:22" x14ac:dyDescent="0.2">
      <c r="A39" s="14"/>
      <c r="B39" s="5"/>
      <c r="C39" s="5"/>
      <c r="D39" s="9"/>
      <c r="E39" s="4"/>
      <c r="F39" s="5"/>
      <c r="G39" s="4"/>
      <c r="H39" s="4"/>
      <c r="I39" s="4"/>
      <c r="J39" s="4"/>
      <c r="K39" s="4"/>
      <c r="L39" s="4"/>
      <c r="M39" s="4"/>
      <c r="N39" s="15"/>
      <c r="O39" s="15"/>
      <c r="P39" s="1">
        <f t="shared" si="1"/>
        <v>39</v>
      </c>
      <c r="Q39" s="21">
        <v>185</v>
      </c>
      <c r="R39" s="21">
        <v>80</v>
      </c>
      <c r="S39" s="21">
        <v>707.6612916460557</v>
      </c>
      <c r="T39" s="21">
        <v>1.2340228444157653</v>
      </c>
      <c r="U39" s="21">
        <v>0.54262918271806559</v>
      </c>
      <c r="V39" s="21">
        <v>1.6686486486486486E-4</v>
      </c>
    </row>
    <row r="40" spans="1:22" x14ac:dyDescent="0.2">
      <c r="A40" s="14"/>
      <c r="B40" s="5"/>
      <c r="C40" s="5"/>
      <c r="D40" s="9"/>
      <c r="E40" s="4"/>
      <c r="F40" s="5"/>
      <c r="G40" s="4"/>
      <c r="H40" s="4"/>
      <c r="I40" s="4"/>
      <c r="J40" s="4"/>
      <c r="K40" s="4"/>
      <c r="L40" s="4"/>
      <c r="M40" s="4"/>
      <c r="N40" s="15"/>
      <c r="O40" s="15"/>
      <c r="P40" s="1">
        <f t="shared" si="1"/>
        <v>40</v>
      </c>
      <c r="Q40" s="21">
        <v>190</v>
      </c>
      <c r="R40" s="21">
        <v>80</v>
      </c>
      <c r="S40" s="21">
        <v>707.98800088208623</v>
      </c>
      <c r="T40" s="21">
        <v>1.2334533903286324</v>
      </c>
      <c r="U40" s="21">
        <v>0.54508584482840694</v>
      </c>
      <c r="V40" s="21">
        <v>1.6247368421052632E-4</v>
      </c>
    </row>
    <row r="41" spans="1:22" x14ac:dyDescent="0.2">
      <c r="A41" s="14"/>
      <c r="B41" s="5"/>
      <c r="C41" s="5"/>
      <c r="D41" s="9"/>
      <c r="E41" s="4"/>
      <c r="F41" s="5"/>
      <c r="N41" s="15"/>
      <c r="O41" s="15"/>
      <c r="P41" s="1">
        <f t="shared" si="1"/>
        <v>41</v>
      </c>
      <c r="Q41" s="21">
        <v>195</v>
      </c>
      <c r="R41" s="21">
        <v>80</v>
      </c>
      <c r="S41" s="21">
        <v>708.2980952263415</v>
      </c>
      <c r="T41" s="21">
        <v>1.2329133819298788</v>
      </c>
      <c r="U41" s="21">
        <v>0.54754250693874829</v>
      </c>
      <c r="V41" s="21">
        <v>1.5830769230769232E-4</v>
      </c>
    </row>
    <row r="42" spans="1:22" x14ac:dyDescent="0.2">
      <c r="A42" s="14"/>
      <c r="B42" s="5"/>
      <c r="C42" s="5"/>
      <c r="D42" s="9"/>
      <c r="E42" s="4"/>
      <c r="F42" s="5"/>
      <c r="N42" s="15"/>
      <c r="O42" s="15"/>
      <c r="P42" s="1">
        <f t="shared" si="1"/>
        <v>42</v>
      </c>
      <c r="Q42" s="21">
        <v>200</v>
      </c>
      <c r="R42" s="21">
        <v>80</v>
      </c>
      <c r="S42" s="21">
        <v>708.59281065518076</v>
      </c>
      <c r="T42" s="21">
        <v>1.2324005929336976</v>
      </c>
      <c r="U42" s="21">
        <v>0.54999916904908952</v>
      </c>
      <c r="V42" s="21">
        <v>1.5434999999999998E-4</v>
      </c>
    </row>
    <row r="43" spans="1:22" x14ac:dyDescent="0.2">
      <c r="A43" s="14"/>
      <c r="B43" s="5"/>
      <c r="C43" s="5"/>
      <c r="D43" s="9"/>
      <c r="E43" s="4"/>
      <c r="F43" s="5"/>
      <c r="H43" s="10" t="s">
        <v>20</v>
      </c>
      <c r="N43" s="15"/>
      <c r="O43" s="15"/>
      <c r="P43" s="1">
        <f t="shared" si="1"/>
        <v>43</v>
      </c>
      <c r="Q43" s="21">
        <v>205</v>
      </c>
      <c r="R43" s="21">
        <v>80</v>
      </c>
      <c r="S43" s="21">
        <v>708.87326352199284</v>
      </c>
      <c r="T43" s="21">
        <v>1.2319130159617127</v>
      </c>
      <c r="U43" s="21">
        <v>0.55245583115943087</v>
      </c>
      <c r="V43" s="21">
        <v>1.5058536585365855E-4</v>
      </c>
    </row>
    <row r="44" spans="1:22" ht="23.25" customHeight="1" x14ac:dyDescent="0.2">
      <c r="A44" s="14"/>
      <c r="B44" s="5"/>
      <c r="C44" s="5"/>
      <c r="D44" s="9"/>
      <c r="E44" s="4"/>
      <c r="F44" s="5"/>
      <c r="H44" s="44" t="s">
        <v>4</v>
      </c>
      <c r="I44" s="44" t="s">
        <v>0</v>
      </c>
      <c r="J44" s="45" t="s">
        <v>7</v>
      </c>
      <c r="K44" s="44" t="s">
        <v>21</v>
      </c>
      <c r="L44" s="45" t="s">
        <v>22</v>
      </c>
      <c r="N44" s="15"/>
      <c r="O44" s="15"/>
      <c r="P44" s="1">
        <f t="shared" si="1"/>
        <v>44</v>
      </c>
      <c r="Q44" s="21">
        <v>210</v>
      </c>
      <c r="R44" s="21">
        <v>80</v>
      </c>
      <c r="S44" s="21">
        <v>709.14046468702725</v>
      </c>
      <c r="T44" s="21">
        <v>1.2314488362829641</v>
      </c>
      <c r="U44" s="21">
        <v>0.55491249326977221</v>
      </c>
      <c r="V44" s="21">
        <v>1.47E-4</v>
      </c>
    </row>
    <row r="45" spans="1:22" x14ac:dyDescent="0.2">
      <c r="A45" s="14"/>
      <c r="B45" s="5"/>
      <c r="C45" s="5"/>
      <c r="D45" s="9"/>
      <c r="E45" s="4"/>
      <c r="F45" s="5"/>
      <c r="H45" s="43" t="s">
        <v>23</v>
      </c>
      <c r="I45" s="43" t="s">
        <v>13</v>
      </c>
      <c r="J45" s="43" t="s">
        <v>14</v>
      </c>
      <c r="K45" s="43" t="s">
        <v>15</v>
      </c>
      <c r="L45" s="43" t="s">
        <v>24</v>
      </c>
      <c r="N45" s="15"/>
      <c r="O45" s="15"/>
      <c r="P45" s="1">
        <f t="shared" si="1"/>
        <v>45</v>
      </c>
      <c r="Q45" s="21">
        <v>215</v>
      </c>
      <c r="R45" s="21">
        <v>80</v>
      </c>
      <c r="S45" s="21">
        <v>709.39533169067226</v>
      </c>
      <c r="T45" s="21">
        <v>1.2310064092454227</v>
      </c>
      <c r="U45" s="21">
        <v>0.55736915538011356</v>
      </c>
      <c r="V45" s="21">
        <v>1.4358139534883721E-4</v>
      </c>
    </row>
    <row r="46" spans="1:22" x14ac:dyDescent="0.2">
      <c r="A46" s="14"/>
      <c r="B46" s="5"/>
      <c r="C46" s="5"/>
      <c r="D46" s="9"/>
      <c r="E46" s="4"/>
      <c r="F46" s="5"/>
      <c r="H46" s="49">
        <v>1</v>
      </c>
      <c r="I46" s="49">
        <v>0</v>
      </c>
      <c r="J46" s="49">
        <v>758.52660479170038</v>
      </c>
      <c r="K46" s="50">
        <v>1.0546762565034731</v>
      </c>
      <c r="L46" s="51">
        <v>0.9677699407823821</v>
      </c>
      <c r="M46" s="3"/>
      <c r="N46" s="15"/>
      <c r="O46" s="15"/>
      <c r="P46" s="1">
        <f t="shared" si="1"/>
        <v>46</v>
      </c>
      <c r="Q46" s="21">
        <v>220</v>
      </c>
      <c r="R46" s="21">
        <v>80</v>
      </c>
      <c r="S46" s="21">
        <v>709.63869927912219</v>
      </c>
      <c r="T46" s="21">
        <v>1.2305842408074714</v>
      </c>
      <c r="U46" s="21">
        <v>0.5598258174904549</v>
      </c>
      <c r="V46" s="21">
        <v>1.4031818181818183E-4</v>
      </c>
    </row>
    <row r="47" spans="1:22" x14ac:dyDescent="0.2">
      <c r="A47" s="14"/>
      <c r="B47" s="5"/>
      <c r="C47" s="5"/>
      <c r="D47" s="9"/>
      <c r="E47" s="4"/>
      <c r="F47" s="5"/>
      <c r="H47" s="49">
        <v>40</v>
      </c>
      <c r="I47" s="49">
        <v>41.430650096782024</v>
      </c>
      <c r="J47" s="49">
        <v>724.28653859486326</v>
      </c>
      <c r="K47" s="50">
        <v>1.1569252713983249</v>
      </c>
      <c r="L47" s="51">
        <v>0.67350095130437315</v>
      </c>
      <c r="M47" s="3"/>
      <c r="N47" s="15"/>
      <c r="O47" s="15"/>
      <c r="P47" s="1">
        <f t="shared" si="1"/>
        <v>47</v>
      </c>
      <c r="Q47" s="21">
        <v>225</v>
      </c>
      <c r="R47" s="21">
        <v>80</v>
      </c>
      <c r="S47" s="21">
        <v>709.87132853685364</v>
      </c>
      <c r="T47" s="21">
        <v>1.2301809706837081</v>
      </c>
      <c r="U47" s="21">
        <v>0.56228247960079625</v>
      </c>
      <c r="V47" s="21">
        <v>1.372E-4</v>
      </c>
    </row>
    <row r="48" spans="1:22" x14ac:dyDescent="0.2">
      <c r="A48" s="14"/>
      <c r="B48" s="5"/>
      <c r="C48" s="5"/>
      <c r="D48" s="9"/>
      <c r="E48" s="4"/>
      <c r="F48" s="5"/>
      <c r="H48" s="49">
        <v>80</v>
      </c>
      <c r="I48" s="49">
        <v>65.010950322272848</v>
      </c>
      <c r="J48" s="49">
        <v>707.98173986259019</v>
      </c>
      <c r="K48" s="50">
        <v>1.2140737793895831</v>
      </c>
      <c r="L48" s="51">
        <v>0.56060580449689612</v>
      </c>
      <c r="M48" s="3"/>
      <c r="N48" s="15"/>
      <c r="O48" s="15"/>
      <c r="P48" s="1">
        <f t="shared" si="1"/>
        <v>48</v>
      </c>
      <c r="Q48" s="21">
        <v>230</v>
      </c>
      <c r="R48" s="21">
        <v>80</v>
      </c>
      <c r="S48" s="21">
        <v>710.09391483640286</v>
      </c>
      <c r="T48" s="21">
        <v>1.229795357704468</v>
      </c>
      <c r="U48" s="21">
        <v>0.56473914171113759</v>
      </c>
      <c r="V48" s="21">
        <v>1.3421739130434782E-4</v>
      </c>
    </row>
    <row r="49" spans="1:22" x14ac:dyDescent="0.2">
      <c r="A49" s="14"/>
      <c r="B49" s="5"/>
      <c r="C49" s="5"/>
      <c r="D49" s="9"/>
      <c r="E49" s="4"/>
      <c r="F49" s="5"/>
      <c r="H49" s="52">
        <v>105.11251676778227</v>
      </c>
      <c r="I49" s="52">
        <v>79.420472963706544</v>
      </c>
      <c r="J49" s="53">
        <v>698.73318520950738</v>
      </c>
      <c r="K49" s="54">
        <v>1.2490310217127243</v>
      </c>
      <c r="L49" s="55">
        <v>0.50541203186607009</v>
      </c>
      <c r="M49" s="11"/>
      <c r="N49" s="15"/>
      <c r="O49" s="15"/>
      <c r="P49" s="1">
        <f t="shared" si="1"/>
        <v>49</v>
      </c>
      <c r="Q49" s="21">
        <v>235</v>
      </c>
      <c r="R49" s="21">
        <v>80</v>
      </c>
      <c r="S49" s="21">
        <v>710.3070947803576</v>
      </c>
      <c r="T49" s="21">
        <v>1.2294262670571159</v>
      </c>
      <c r="U49" s="21">
        <v>0.56719580382147883</v>
      </c>
      <c r="V49" s="21">
        <v>1.3136170212765957E-4</v>
      </c>
    </row>
    <row r="50" spans="1:22" x14ac:dyDescent="0.2">
      <c r="A50" s="14"/>
      <c r="B50" s="5"/>
      <c r="C50" s="5"/>
      <c r="D50" s="9"/>
      <c r="E50" s="4"/>
      <c r="F50" s="5"/>
      <c r="H50" s="49">
        <v>160</v>
      </c>
      <c r="I50" s="56">
        <v>80</v>
      </c>
      <c r="J50" s="56">
        <v>705.72455828532327</v>
      </c>
      <c r="K50" s="57">
        <v>1.2374093968357247</v>
      </c>
      <c r="L50" s="51">
        <v>0.53034587216635887</v>
      </c>
      <c r="M50" s="3"/>
      <c r="N50" s="15"/>
      <c r="O50" s="15"/>
      <c r="P50" s="1">
        <f t="shared" si="1"/>
        <v>50</v>
      </c>
      <c r="Q50" s="21">
        <v>240</v>
      </c>
      <c r="R50" s="21">
        <v>80</v>
      </c>
      <c r="S50" s="21">
        <v>710.51145228152711</v>
      </c>
      <c r="T50" s="21">
        <v>1.2290726591328507</v>
      </c>
      <c r="U50" s="21">
        <v>0.56965246593182017</v>
      </c>
      <c r="V50" s="21">
        <v>1.28625E-4</v>
      </c>
    </row>
    <row r="51" spans="1:22" x14ac:dyDescent="0.2">
      <c r="A51" s="14"/>
      <c r="B51" s="5"/>
      <c r="C51" s="5"/>
      <c r="D51" s="9"/>
      <c r="E51" s="4"/>
      <c r="F51" s="5"/>
      <c r="H51" s="49">
        <v>210</v>
      </c>
      <c r="I51" s="56">
        <v>80</v>
      </c>
      <c r="J51" s="56">
        <v>709.14046468702725</v>
      </c>
      <c r="K51" s="57">
        <v>1.2314488362829641</v>
      </c>
      <c r="L51" s="51">
        <v>0.55491249326977221</v>
      </c>
      <c r="M51" s="3"/>
      <c r="N51" s="15"/>
      <c r="O51" s="15"/>
      <c r="P51" s="1">
        <f t="shared" si="1"/>
        <v>51</v>
      </c>
      <c r="Q51" s="21">
        <v>245</v>
      </c>
      <c r="R51" s="21">
        <v>80</v>
      </c>
      <c r="S51" s="21">
        <v>710.70752390358098</v>
      </c>
      <c r="T51" s="21">
        <v>1.2287335797481629</v>
      </c>
      <c r="U51" s="21">
        <v>0.57210912804216152</v>
      </c>
      <c r="V51" s="21">
        <v>1.26E-4</v>
      </c>
    </row>
    <row r="52" spans="1:22" x14ac:dyDescent="0.2">
      <c r="A52" s="14"/>
      <c r="B52" s="5"/>
      <c r="C52" s="5"/>
      <c r="D52" s="9"/>
      <c r="E52" s="4"/>
      <c r="F52" s="5"/>
      <c r="H52" s="49">
        <v>250</v>
      </c>
      <c r="I52" s="56">
        <v>80</v>
      </c>
      <c r="J52" s="56">
        <v>710.89580356501074</v>
      </c>
      <c r="K52" s="57">
        <v>1.2284081515472616</v>
      </c>
      <c r="L52" s="51">
        <v>0.57456579015250286</v>
      </c>
      <c r="M52" s="3"/>
      <c r="N52" s="15"/>
      <c r="O52" s="15"/>
      <c r="P52" s="1">
        <f t="shared" si="1"/>
        <v>52</v>
      </c>
      <c r="Q52" s="21">
        <v>250</v>
      </c>
      <c r="R52" s="21">
        <v>80</v>
      </c>
      <c r="S52" s="22">
        <v>710.89580356501074</v>
      </c>
      <c r="T52" s="22">
        <v>1.2284081515472616</v>
      </c>
      <c r="U52" s="22">
        <v>0.57456579015250286</v>
      </c>
      <c r="V52" s="22">
        <v>1.2348E-4</v>
      </c>
    </row>
    <row r="53" spans="1:22" x14ac:dyDescent="0.2">
      <c r="A53" s="14"/>
      <c r="B53" s="5"/>
      <c r="C53" s="5"/>
      <c r="D53" s="9"/>
      <c r="E53" s="4"/>
      <c r="F53" s="5"/>
      <c r="G53" s="4"/>
      <c r="H53" s="4"/>
      <c r="I53" s="4"/>
      <c r="J53" s="4"/>
      <c r="K53" s="4"/>
      <c r="L53" s="4"/>
      <c r="M53" s="4"/>
      <c r="N53" s="15"/>
      <c r="O53" s="15"/>
      <c r="P53" s="1">
        <f t="shared" si="1"/>
        <v>53</v>
      </c>
      <c r="Q53" s="21"/>
      <c r="R53" s="21"/>
      <c r="S53" s="22"/>
      <c r="T53" s="22"/>
      <c r="U53" s="22"/>
      <c r="V53" s="22"/>
    </row>
    <row r="54" spans="1:22" x14ac:dyDescent="0.2">
      <c r="A54" s="14"/>
      <c r="B54" s="15"/>
      <c r="C54" s="15"/>
      <c r="D54" s="16"/>
      <c r="E54" s="17"/>
      <c r="F54" s="15"/>
      <c r="G54" s="17"/>
      <c r="H54" s="17"/>
      <c r="I54" s="17"/>
      <c r="J54" s="17"/>
      <c r="K54" s="17"/>
      <c r="L54" s="17"/>
      <c r="M54" s="17"/>
      <c r="N54" s="15"/>
      <c r="O54" s="15"/>
      <c r="P54" s="59">
        <f t="shared" si="1"/>
        <v>54</v>
      </c>
      <c r="Q54" s="60"/>
      <c r="R54" s="21"/>
      <c r="S54" s="22"/>
      <c r="T54" s="22"/>
      <c r="U54" s="22"/>
      <c r="V54" s="22"/>
    </row>
    <row r="55" spans="1:22" ht="6.75" customHeight="1" x14ac:dyDescent="0.2">
      <c r="A55" s="25"/>
      <c r="B55" s="26"/>
      <c r="C55" s="26"/>
      <c r="D55" s="28"/>
      <c r="E55" s="27"/>
      <c r="F55" s="26"/>
      <c r="G55" s="27"/>
      <c r="H55" s="27"/>
      <c r="I55" s="27"/>
      <c r="J55" s="27"/>
      <c r="K55" s="27"/>
      <c r="L55" s="17"/>
      <c r="M55" s="17"/>
      <c r="N55" s="15"/>
      <c r="O55" s="15"/>
      <c r="P55" s="59">
        <f t="shared" si="1"/>
        <v>55</v>
      </c>
      <c r="Q55" s="60"/>
      <c r="R55" s="21"/>
      <c r="S55" s="22"/>
      <c r="T55" s="22"/>
      <c r="U55" s="22"/>
      <c r="V55" s="22"/>
    </row>
    <row r="56" spans="1:22" x14ac:dyDescent="0.2">
      <c r="A56" s="25"/>
      <c r="B56" s="26"/>
      <c r="C56" s="29"/>
      <c r="D56" s="28"/>
      <c r="E56" s="27"/>
      <c r="F56" s="26"/>
      <c r="G56" s="27"/>
      <c r="H56" s="27"/>
      <c r="I56" s="27"/>
      <c r="J56" s="30"/>
      <c r="K56" s="30"/>
      <c r="L56" s="17"/>
      <c r="M56" s="61"/>
      <c r="N56" s="15"/>
      <c r="O56" s="15"/>
      <c r="P56" s="59">
        <f t="shared" si="1"/>
        <v>56</v>
      </c>
      <c r="Q56" s="60"/>
      <c r="R56" s="21"/>
      <c r="S56" s="22"/>
      <c r="T56" s="22"/>
      <c r="U56" s="22"/>
      <c r="V56" s="22"/>
    </row>
    <row r="57" spans="1:22" x14ac:dyDescent="0.2">
      <c r="L57" s="4"/>
      <c r="M57" s="4"/>
      <c r="N57" s="15"/>
      <c r="O57" s="62"/>
      <c r="P57" s="59">
        <f t="shared" si="1"/>
        <v>57</v>
      </c>
      <c r="Q57" s="60"/>
      <c r="R57" s="21"/>
      <c r="S57" s="22"/>
      <c r="T57" s="22"/>
      <c r="U57" s="22"/>
      <c r="V57" s="22"/>
    </row>
    <row r="58" spans="1:22" x14ac:dyDescent="0.2">
      <c r="L58" s="4"/>
      <c r="M58" s="4"/>
      <c r="N58" s="5"/>
      <c r="O58" s="5"/>
      <c r="P58" s="59">
        <f t="shared" si="1"/>
        <v>58</v>
      </c>
      <c r="Q58" s="60"/>
      <c r="R58" s="21"/>
      <c r="S58" s="22"/>
      <c r="T58" s="22"/>
      <c r="U58" s="22"/>
      <c r="V58" s="22"/>
    </row>
    <row r="59" spans="1:22" x14ac:dyDescent="0.2">
      <c r="A59" s="14"/>
      <c r="B59" s="15"/>
      <c r="C59" s="15"/>
      <c r="D59" s="16"/>
      <c r="E59" s="17"/>
      <c r="F59" s="15"/>
      <c r="G59" s="17"/>
      <c r="H59" s="17"/>
      <c r="I59" s="17"/>
      <c r="J59" s="17"/>
      <c r="K59" s="17"/>
      <c r="L59" s="17"/>
      <c r="M59" s="17"/>
      <c r="N59" s="15"/>
      <c r="O59" s="15"/>
      <c r="P59" s="1">
        <f t="shared" si="1"/>
        <v>59</v>
      </c>
      <c r="Q59" s="21"/>
      <c r="R59" s="21"/>
      <c r="S59" s="22"/>
      <c r="T59" s="22"/>
      <c r="U59" s="22"/>
      <c r="V59" s="22"/>
    </row>
    <row r="60" spans="1:22" x14ac:dyDescent="0.2">
      <c r="A60" s="14"/>
      <c r="B60" s="15"/>
      <c r="C60" s="18"/>
      <c r="D60" s="16"/>
      <c r="E60" s="17"/>
      <c r="F60" s="15"/>
      <c r="G60" s="17"/>
      <c r="H60" s="17"/>
      <c r="I60" s="17"/>
      <c r="J60" s="17"/>
      <c r="K60" s="17"/>
      <c r="L60" s="17"/>
      <c r="M60" s="17"/>
      <c r="N60" s="15"/>
      <c r="O60" s="15"/>
      <c r="P60" s="1">
        <f t="shared" si="1"/>
        <v>60</v>
      </c>
      <c r="Q60" s="21"/>
      <c r="R60" s="21"/>
      <c r="S60" s="22"/>
      <c r="T60" s="22"/>
      <c r="U60" s="22"/>
      <c r="V60" s="22"/>
    </row>
    <row r="61" spans="1:22" x14ac:dyDescent="0.2">
      <c r="A61" s="14"/>
      <c r="B61" s="15"/>
      <c r="C61" s="15"/>
      <c r="D61" s="16"/>
      <c r="E61" s="17"/>
      <c r="F61" s="15"/>
      <c r="G61" s="17"/>
      <c r="H61" s="17"/>
      <c r="I61" s="17"/>
      <c r="J61" s="17"/>
      <c r="K61" s="17"/>
      <c r="L61" s="17"/>
      <c r="M61" s="17"/>
      <c r="N61" s="15"/>
      <c r="O61" s="15"/>
      <c r="P61" s="1">
        <f t="shared" si="1"/>
        <v>61</v>
      </c>
      <c r="Q61" s="21"/>
      <c r="R61" s="21"/>
      <c r="S61" s="22"/>
      <c r="T61" s="22"/>
      <c r="U61" s="22"/>
      <c r="V61" s="22"/>
    </row>
    <row r="62" spans="1:22" x14ac:dyDescent="0.2">
      <c r="A62" s="14"/>
      <c r="B62" s="15"/>
      <c r="C62" s="15"/>
      <c r="D62" s="16"/>
      <c r="E62" s="17"/>
      <c r="F62" s="15"/>
      <c r="G62" s="17"/>
      <c r="H62" s="17"/>
      <c r="I62" s="17"/>
      <c r="J62" s="17"/>
      <c r="K62" s="17"/>
      <c r="L62" s="17"/>
      <c r="M62" s="17"/>
      <c r="N62" s="15"/>
      <c r="O62" s="15"/>
      <c r="P62" s="1">
        <f t="shared" si="1"/>
        <v>62</v>
      </c>
      <c r="Q62" s="21"/>
      <c r="R62" s="21"/>
      <c r="S62" s="22"/>
      <c r="T62" s="22"/>
      <c r="U62" s="22"/>
      <c r="V62" s="22"/>
    </row>
    <row r="63" spans="1:22" x14ac:dyDescent="0.2">
      <c r="A63" s="14"/>
      <c r="B63" s="15"/>
      <c r="C63" s="15"/>
      <c r="D63" s="16"/>
      <c r="E63" s="17"/>
      <c r="F63" s="15"/>
      <c r="G63" s="17"/>
      <c r="H63" s="17"/>
      <c r="I63" s="17"/>
      <c r="J63" s="17"/>
      <c r="K63" s="17"/>
      <c r="L63" s="17"/>
      <c r="M63" s="17"/>
      <c r="N63" s="15"/>
      <c r="O63" s="15"/>
      <c r="P63" s="1">
        <f t="shared" si="1"/>
        <v>63</v>
      </c>
      <c r="Q63" s="21"/>
      <c r="R63" s="21"/>
      <c r="S63" s="22"/>
      <c r="T63" s="22"/>
      <c r="U63" s="22"/>
      <c r="V63" s="22"/>
    </row>
    <row r="64" spans="1:22" x14ac:dyDescent="0.2">
      <c r="A64" s="14"/>
      <c r="B64" s="15"/>
      <c r="C64" s="15"/>
      <c r="D64" s="16"/>
      <c r="E64" s="17"/>
      <c r="F64" s="15"/>
      <c r="G64" s="17"/>
      <c r="H64" s="17"/>
      <c r="I64" s="17"/>
      <c r="J64" s="17"/>
      <c r="K64" s="17"/>
      <c r="L64" s="17"/>
      <c r="M64" s="17"/>
      <c r="N64" s="15"/>
      <c r="O64" s="15"/>
      <c r="P64" s="1">
        <f t="shared" si="1"/>
        <v>64</v>
      </c>
      <c r="Q64" s="21"/>
      <c r="R64" s="21"/>
      <c r="S64" s="22"/>
      <c r="T64" s="22"/>
      <c r="U64" s="22"/>
      <c r="V64" s="22"/>
    </row>
    <row r="65" spans="1:22" x14ac:dyDescent="0.2">
      <c r="A65" s="14"/>
      <c r="B65" s="15"/>
      <c r="C65" s="15"/>
      <c r="D65" s="16"/>
      <c r="E65" s="17"/>
      <c r="F65" s="15"/>
      <c r="G65" s="17"/>
      <c r="H65" s="17"/>
      <c r="I65" s="17"/>
      <c r="J65" s="17"/>
      <c r="K65" s="17"/>
      <c r="L65" s="17"/>
      <c r="M65" s="17"/>
      <c r="N65" s="15"/>
      <c r="O65" s="15"/>
      <c r="P65" s="1">
        <f t="shared" ref="P65:P96" si="2">P64+1</f>
        <v>65</v>
      </c>
      <c r="Q65" s="21"/>
      <c r="R65" s="21"/>
      <c r="S65" s="22"/>
      <c r="T65" s="22"/>
      <c r="U65" s="22"/>
      <c r="V65" s="22"/>
    </row>
    <row r="66" spans="1:22" x14ac:dyDescent="0.2">
      <c r="A66" s="14"/>
      <c r="B66" s="15"/>
      <c r="C66" s="15"/>
      <c r="D66" s="16"/>
      <c r="E66" s="17"/>
      <c r="F66" s="15"/>
      <c r="G66" s="17"/>
      <c r="H66" s="17"/>
      <c r="I66" s="17"/>
      <c r="J66" s="17"/>
      <c r="K66" s="17"/>
      <c r="L66" s="17"/>
      <c r="M66" s="17"/>
      <c r="N66" s="15"/>
      <c r="O66" s="15"/>
      <c r="P66" s="1">
        <f t="shared" si="2"/>
        <v>66</v>
      </c>
      <c r="Q66" s="21"/>
      <c r="R66" s="21"/>
      <c r="S66" s="22"/>
      <c r="T66" s="22"/>
      <c r="U66" s="22"/>
      <c r="V66" s="22"/>
    </row>
    <row r="67" spans="1:22" x14ac:dyDescent="0.2">
      <c r="A67" s="14"/>
      <c r="B67" s="15"/>
      <c r="C67" s="15"/>
      <c r="D67" s="16"/>
      <c r="E67" s="17"/>
      <c r="F67" s="15"/>
      <c r="G67" s="17"/>
      <c r="H67" s="17"/>
      <c r="I67" s="17"/>
      <c r="J67" s="17"/>
      <c r="K67" s="17"/>
      <c r="L67" s="17"/>
      <c r="M67" s="17"/>
      <c r="N67" s="15"/>
      <c r="O67" s="15"/>
      <c r="P67" s="1">
        <f t="shared" si="2"/>
        <v>67</v>
      </c>
      <c r="Q67" s="21"/>
      <c r="R67" s="21"/>
      <c r="S67" s="22"/>
      <c r="T67" s="22"/>
      <c r="U67" s="22"/>
      <c r="V67" s="22"/>
    </row>
    <row r="68" spans="1:22" x14ac:dyDescent="0.2">
      <c r="A68" s="14"/>
      <c r="B68" s="15"/>
      <c r="C68" s="15"/>
      <c r="D68" s="16"/>
      <c r="E68" s="17"/>
      <c r="F68" s="15"/>
      <c r="G68" s="17"/>
      <c r="H68" s="17"/>
      <c r="I68" s="17"/>
      <c r="J68" s="17"/>
      <c r="K68" s="17"/>
      <c r="L68" s="17"/>
      <c r="M68" s="17"/>
      <c r="N68" s="15"/>
      <c r="O68" s="15"/>
      <c r="P68" s="1">
        <f t="shared" si="2"/>
        <v>68</v>
      </c>
      <c r="Q68" s="21"/>
      <c r="R68" s="21"/>
      <c r="S68" s="22"/>
      <c r="T68" s="22"/>
      <c r="U68" s="22"/>
      <c r="V68" s="22"/>
    </row>
    <row r="69" spans="1:22" x14ac:dyDescent="0.2">
      <c r="A69" s="14"/>
      <c r="B69" s="15"/>
      <c r="C69" s="15"/>
      <c r="D69" s="16"/>
      <c r="E69" s="17"/>
      <c r="F69" s="15"/>
      <c r="G69" s="17"/>
      <c r="H69" s="17"/>
      <c r="I69" s="17"/>
      <c r="J69" s="17"/>
      <c r="K69" s="17"/>
      <c r="L69" s="17"/>
      <c r="M69" s="17"/>
      <c r="N69" s="15"/>
      <c r="O69" s="15"/>
      <c r="P69" s="1">
        <f t="shared" si="2"/>
        <v>69</v>
      </c>
      <c r="Q69" s="21"/>
      <c r="R69" s="21"/>
      <c r="S69" s="22"/>
      <c r="T69" s="22"/>
      <c r="U69" s="22"/>
      <c r="V69" s="22"/>
    </row>
    <row r="70" spans="1:22" x14ac:dyDescent="0.2">
      <c r="A70" s="14"/>
      <c r="B70" s="15"/>
      <c r="C70" s="15"/>
      <c r="D70" s="16"/>
      <c r="E70" s="17"/>
      <c r="F70" s="15"/>
      <c r="G70" s="17"/>
      <c r="H70" s="17"/>
      <c r="I70" s="17"/>
      <c r="J70" s="17"/>
      <c r="K70" s="17"/>
      <c r="L70" s="17"/>
      <c r="M70" s="17"/>
      <c r="N70" s="15"/>
      <c r="O70" s="15"/>
      <c r="P70" s="1">
        <f t="shared" si="2"/>
        <v>70</v>
      </c>
      <c r="Q70" s="21"/>
      <c r="R70" s="21"/>
      <c r="S70" s="22"/>
      <c r="T70" s="22"/>
      <c r="U70" s="22"/>
      <c r="V70" s="22"/>
    </row>
    <row r="71" spans="1:22" x14ac:dyDescent="0.2">
      <c r="A71" s="14"/>
      <c r="B71" s="15"/>
      <c r="C71" s="15"/>
      <c r="D71" s="16"/>
      <c r="E71" s="17"/>
      <c r="F71" s="15"/>
      <c r="G71" s="17"/>
      <c r="H71" s="17"/>
      <c r="I71" s="17"/>
      <c r="J71" s="17"/>
      <c r="K71" s="17"/>
      <c r="L71" s="17"/>
      <c r="M71" s="17"/>
      <c r="N71" s="15"/>
      <c r="O71" s="15"/>
      <c r="P71" s="1">
        <f t="shared" si="2"/>
        <v>71</v>
      </c>
      <c r="Q71" s="21"/>
      <c r="R71" s="21"/>
      <c r="S71" s="22"/>
      <c r="T71" s="22"/>
      <c r="U71" s="22"/>
      <c r="V71" s="22"/>
    </row>
    <row r="72" spans="1:22" x14ac:dyDescent="0.2">
      <c r="A72" s="14"/>
      <c r="B72" s="15"/>
      <c r="C72" s="15"/>
      <c r="D72" s="16"/>
      <c r="E72" s="17"/>
      <c r="F72" s="15"/>
      <c r="G72" s="17"/>
      <c r="H72" s="17"/>
      <c r="I72" s="17"/>
      <c r="J72" s="17"/>
      <c r="K72" s="17"/>
      <c r="L72" s="17"/>
      <c r="M72" s="17"/>
      <c r="N72" s="15"/>
      <c r="O72" s="15"/>
      <c r="P72" s="1">
        <f t="shared" si="2"/>
        <v>72</v>
      </c>
      <c r="Q72" s="21"/>
      <c r="R72" s="21"/>
      <c r="S72" s="22"/>
      <c r="T72" s="22"/>
      <c r="U72" s="22"/>
      <c r="V72" s="22"/>
    </row>
    <row r="73" spans="1:22" x14ac:dyDescent="0.2">
      <c r="A73" s="14"/>
      <c r="B73" s="15"/>
      <c r="C73" s="15"/>
      <c r="D73" s="16"/>
      <c r="E73" s="17"/>
      <c r="F73" s="15"/>
      <c r="G73" s="17"/>
      <c r="H73" s="17"/>
      <c r="I73" s="17"/>
      <c r="J73" s="17"/>
      <c r="K73" s="17"/>
      <c r="L73" s="17"/>
      <c r="M73" s="17"/>
      <c r="N73" s="15"/>
      <c r="O73" s="15"/>
      <c r="P73" s="1">
        <f t="shared" si="2"/>
        <v>73</v>
      </c>
      <c r="Q73" s="21"/>
      <c r="R73" s="21"/>
      <c r="S73" s="22"/>
      <c r="T73" s="22"/>
      <c r="U73" s="22"/>
      <c r="V73" s="22"/>
    </row>
    <row r="74" spans="1:22" x14ac:dyDescent="0.2">
      <c r="A74" s="14"/>
      <c r="B74" s="15"/>
      <c r="C74" s="15"/>
      <c r="D74" s="16"/>
      <c r="E74" s="17"/>
      <c r="F74" s="15"/>
      <c r="G74" s="17"/>
      <c r="H74" s="17"/>
      <c r="I74" s="17"/>
      <c r="J74" s="17"/>
      <c r="K74" s="17"/>
      <c r="L74" s="17"/>
      <c r="M74" s="17"/>
      <c r="N74" s="15"/>
      <c r="O74" s="15"/>
      <c r="P74" s="1">
        <f t="shared" si="2"/>
        <v>74</v>
      </c>
      <c r="Q74" s="21"/>
      <c r="R74" s="21"/>
      <c r="S74" s="22"/>
      <c r="T74" s="22"/>
      <c r="U74" s="22"/>
      <c r="V74" s="22"/>
    </row>
    <row r="75" spans="1:22" x14ac:dyDescent="0.2">
      <c r="A75" s="14"/>
      <c r="B75" s="15"/>
      <c r="C75" s="15"/>
      <c r="D75" s="16"/>
      <c r="E75" s="17"/>
      <c r="F75" s="15"/>
      <c r="G75" s="17"/>
      <c r="H75" s="17"/>
      <c r="I75" s="17"/>
      <c r="J75" s="17"/>
      <c r="K75" s="17"/>
      <c r="L75" s="17"/>
      <c r="M75" s="17"/>
      <c r="N75" s="15"/>
      <c r="O75" s="15"/>
      <c r="P75" s="1">
        <f t="shared" si="2"/>
        <v>75</v>
      </c>
      <c r="Q75" s="21"/>
      <c r="R75" s="21"/>
      <c r="S75" s="22"/>
      <c r="T75" s="22"/>
      <c r="U75" s="22"/>
      <c r="V75" s="22"/>
    </row>
    <row r="76" spans="1:22" x14ac:dyDescent="0.2">
      <c r="A76" s="14"/>
      <c r="B76" s="15"/>
      <c r="C76" s="15"/>
      <c r="D76" s="16"/>
      <c r="E76" s="17"/>
      <c r="F76" s="15"/>
      <c r="G76" s="17"/>
      <c r="H76" s="17"/>
      <c r="I76" s="17"/>
      <c r="J76" s="17"/>
      <c r="K76" s="17"/>
      <c r="L76" s="17"/>
      <c r="M76" s="17"/>
      <c r="N76" s="15"/>
      <c r="O76" s="15"/>
      <c r="P76" s="1">
        <f t="shared" si="2"/>
        <v>76</v>
      </c>
      <c r="Q76" s="21"/>
      <c r="R76" s="21"/>
      <c r="S76" s="22"/>
      <c r="T76" s="22"/>
      <c r="U76" s="22"/>
      <c r="V76" s="22"/>
    </row>
    <row r="77" spans="1:22" x14ac:dyDescent="0.2">
      <c r="A77" s="14"/>
      <c r="B77" s="15"/>
      <c r="C77" s="15"/>
      <c r="D77" s="16"/>
      <c r="E77" s="17"/>
      <c r="F77" s="15"/>
      <c r="G77" s="17"/>
      <c r="H77" s="17"/>
      <c r="I77" s="17"/>
      <c r="J77" s="17"/>
      <c r="K77" s="17"/>
      <c r="L77" s="17"/>
      <c r="M77" s="17"/>
      <c r="N77" s="15"/>
      <c r="O77" s="15"/>
      <c r="P77" s="1">
        <f t="shared" si="2"/>
        <v>77</v>
      </c>
      <c r="Q77" s="21"/>
      <c r="R77" s="21"/>
      <c r="S77" s="22"/>
      <c r="T77" s="22"/>
      <c r="U77" s="22"/>
      <c r="V77" s="22"/>
    </row>
    <row r="78" spans="1:22" x14ac:dyDescent="0.2">
      <c r="A78" s="14"/>
      <c r="B78" s="15"/>
      <c r="C78" s="15"/>
      <c r="D78" s="16"/>
      <c r="E78" s="17"/>
      <c r="F78" s="15"/>
      <c r="G78" s="17"/>
      <c r="H78" s="17"/>
      <c r="I78" s="17"/>
      <c r="J78" s="17"/>
      <c r="K78" s="17"/>
      <c r="L78" s="17"/>
      <c r="M78" s="17"/>
      <c r="N78" s="15"/>
      <c r="O78" s="15"/>
      <c r="P78" s="1">
        <f t="shared" si="2"/>
        <v>78</v>
      </c>
      <c r="Q78" s="21"/>
      <c r="R78" s="21"/>
      <c r="S78" s="22"/>
      <c r="T78" s="22"/>
      <c r="U78" s="22"/>
      <c r="V78" s="22"/>
    </row>
    <row r="79" spans="1:22" x14ac:dyDescent="0.2">
      <c r="A79" s="14"/>
      <c r="B79" s="15"/>
      <c r="C79" s="15"/>
      <c r="D79" s="16"/>
      <c r="E79" s="17"/>
      <c r="F79" s="15"/>
      <c r="G79" s="17"/>
      <c r="H79" s="17"/>
      <c r="I79" s="17"/>
      <c r="J79" s="17"/>
      <c r="K79" s="17"/>
      <c r="L79" s="17"/>
      <c r="M79" s="17"/>
      <c r="N79" s="15"/>
      <c r="O79" s="15"/>
      <c r="P79" s="1">
        <f t="shared" si="2"/>
        <v>79</v>
      </c>
      <c r="Q79" s="21"/>
      <c r="R79" s="21"/>
      <c r="S79" s="22"/>
      <c r="T79" s="22"/>
      <c r="U79" s="22"/>
      <c r="V79" s="22"/>
    </row>
    <row r="80" spans="1:22" x14ac:dyDescent="0.2">
      <c r="A80" s="14"/>
      <c r="B80" s="15"/>
      <c r="C80" s="15"/>
      <c r="D80" s="16"/>
      <c r="E80" s="17"/>
      <c r="F80" s="15"/>
      <c r="G80" s="17"/>
      <c r="H80" s="17"/>
      <c r="I80" s="17"/>
      <c r="J80" s="17"/>
      <c r="K80" s="17"/>
      <c r="L80" s="17"/>
      <c r="M80" s="17"/>
      <c r="N80" s="15"/>
      <c r="O80" s="15"/>
      <c r="P80" s="1">
        <f t="shared" si="2"/>
        <v>80</v>
      </c>
      <c r="Q80" s="21"/>
      <c r="R80" s="21"/>
      <c r="S80" s="22"/>
      <c r="T80" s="22"/>
      <c r="U80" s="22"/>
      <c r="V80" s="22"/>
    </row>
    <row r="81" spans="1:22" x14ac:dyDescent="0.2">
      <c r="A81" s="14"/>
      <c r="B81" s="15"/>
      <c r="C81" s="15"/>
      <c r="D81" s="16"/>
      <c r="E81" s="17"/>
      <c r="F81" s="15"/>
      <c r="G81" s="17"/>
      <c r="H81" s="17"/>
      <c r="I81" s="17"/>
      <c r="J81" s="17"/>
      <c r="K81" s="17"/>
      <c r="L81" s="17"/>
      <c r="M81" s="17"/>
      <c r="N81" s="15"/>
      <c r="O81" s="15"/>
      <c r="P81" s="1">
        <f t="shared" si="2"/>
        <v>81</v>
      </c>
      <c r="Q81" s="21"/>
      <c r="R81" s="21"/>
      <c r="S81" s="22"/>
      <c r="T81" s="22"/>
      <c r="U81" s="22"/>
      <c r="V81" s="22"/>
    </row>
    <row r="82" spans="1:22" x14ac:dyDescent="0.2">
      <c r="A82" s="14"/>
      <c r="B82" s="15"/>
      <c r="C82" s="15"/>
      <c r="D82" s="16"/>
      <c r="E82" s="17"/>
      <c r="F82" s="15"/>
      <c r="G82" s="17"/>
      <c r="H82" s="17"/>
      <c r="I82" s="17"/>
      <c r="J82" s="17"/>
      <c r="K82" s="17"/>
      <c r="L82" s="17"/>
      <c r="M82" s="17"/>
      <c r="N82" s="15"/>
      <c r="O82" s="15"/>
      <c r="P82" s="1">
        <f t="shared" si="2"/>
        <v>82</v>
      </c>
      <c r="Q82" s="21"/>
      <c r="R82" s="21"/>
      <c r="S82" s="22"/>
      <c r="T82" s="22"/>
      <c r="U82" s="22"/>
      <c r="V82" s="22"/>
    </row>
    <row r="83" spans="1:22" x14ac:dyDescent="0.2">
      <c r="A83" s="14"/>
      <c r="B83" s="15"/>
      <c r="C83" s="15"/>
      <c r="D83" s="16"/>
      <c r="E83" s="17"/>
      <c r="F83" s="15"/>
      <c r="G83" s="17"/>
      <c r="H83" s="17"/>
      <c r="I83" s="17"/>
      <c r="J83" s="17"/>
      <c r="K83" s="17"/>
      <c r="L83" s="17"/>
      <c r="M83" s="17"/>
      <c r="N83" s="15"/>
      <c r="O83" s="15"/>
      <c r="P83" s="1">
        <f t="shared" si="2"/>
        <v>83</v>
      </c>
      <c r="Q83" s="21"/>
      <c r="R83" s="21"/>
      <c r="S83" s="22"/>
      <c r="T83" s="22"/>
      <c r="U83" s="22"/>
      <c r="V83" s="22"/>
    </row>
    <row r="84" spans="1:22" x14ac:dyDescent="0.2">
      <c r="A84" s="14"/>
      <c r="B84" s="15"/>
      <c r="C84" s="15"/>
      <c r="D84" s="16"/>
      <c r="E84" s="17"/>
      <c r="F84" s="15"/>
      <c r="G84" s="17"/>
      <c r="H84" s="17"/>
      <c r="I84" s="17"/>
      <c r="J84" s="17"/>
      <c r="K84" s="17"/>
      <c r="L84" s="17"/>
      <c r="M84" s="17"/>
      <c r="N84" s="15"/>
      <c r="O84" s="15"/>
      <c r="P84" s="1">
        <f t="shared" si="2"/>
        <v>84</v>
      </c>
      <c r="Q84" s="21"/>
      <c r="R84" s="21"/>
      <c r="S84" s="22"/>
      <c r="T84" s="22"/>
      <c r="U84" s="22"/>
      <c r="V84" s="22"/>
    </row>
    <row r="85" spans="1:22" x14ac:dyDescent="0.2">
      <c r="A85" s="14"/>
      <c r="B85" s="15"/>
      <c r="C85" s="15"/>
      <c r="D85" s="16"/>
      <c r="E85" s="17"/>
      <c r="F85" s="15"/>
      <c r="G85" s="17"/>
      <c r="H85" s="17"/>
      <c r="I85" s="17"/>
      <c r="J85" s="17"/>
      <c r="K85" s="17"/>
      <c r="L85" s="17"/>
      <c r="M85" s="17"/>
      <c r="N85" s="15"/>
      <c r="O85" s="15"/>
      <c r="P85" s="1">
        <f t="shared" si="2"/>
        <v>85</v>
      </c>
      <c r="Q85" s="21"/>
      <c r="R85" s="21"/>
      <c r="S85" s="22"/>
      <c r="T85" s="22"/>
      <c r="U85" s="22"/>
      <c r="V85" s="22"/>
    </row>
    <row r="86" spans="1:22" x14ac:dyDescent="0.2">
      <c r="A86" s="14"/>
      <c r="B86" s="15"/>
      <c r="C86" s="15"/>
      <c r="D86" s="16"/>
      <c r="E86" s="17"/>
      <c r="F86" s="15"/>
      <c r="G86" s="17"/>
      <c r="H86" s="17"/>
      <c r="I86" s="17"/>
      <c r="J86" s="17"/>
      <c r="K86" s="17"/>
      <c r="L86" s="17"/>
      <c r="M86" s="17"/>
      <c r="N86" s="15"/>
      <c r="O86" s="15"/>
      <c r="P86" s="1">
        <f t="shared" si="2"/>
        <v>86</v>
      </c>
      <c r="Q86" s="21"/>
      <c r="R86" s="21"/>
      <c r="S86" s="22"/>
      <c r="T86" s="22"/>
      <c r="U86" s="22"/>
      <c r="V86" s="22"/>
    </row>
    <row r="87" spans="1:22" x14ac:dyDescent="0.2">
      <c r="A87" s="14"/>
      <c r="B87" s="15"/>
      <c r="C87" s="15"/>
      <c r="D87" s="16"/>
      <c r="E87" s="17"/>
      <c r="F87" s="15"/>
      <c r="G87" s="17"/>
      <c r="H87" s="17"/>
      <c r="I87" s="17"/>
      <c r="J87" s="17"/>
      <c r="K87" s="17"/>
      <c r="L87" s="17"/>
      <c r="M87" s="17"/>
      <c r="N87" s="15"/>
      <c r="O87" s="15"/>
      <c r="P87" s="1">
        <f t="shared" si="2"/>
        <v>87</v>
      </c>
      <c r="Q87" s="21"/>
      <c r="R87" s="21"/>
      <c r="S87" s="22"/>
      <c r="T87" s="22"/>
      <c r="U87" s="22"/>
      <c r="V87" s="22"/>
    </row>
    <row r="88" spans="1:22" x14ac:dyDescent="0.2">
      <c r="A88" s="14"/>
      <c r="B88" s="15"/>
      <c r="C88" s="15"/>
      <c r="D88" s="16"/>
      <c r="E88" s="17"/>
      <c r="F88" s="15"/>
      <c r="G88" s="17"/>
      <c r="H88" s="17"/>
      <c r="I88" s="17"/>
      <c r="J88" s="17"/>
      <c r="K88" s="17"/>
      <c r="L88" s="17"/>
      <c r="M88" s="17"/>
      <c r="N88" s="15"/>
      <c r="O88" s="15"/>
      <c r="P88" s="1">
        <f t="shared" si="2"/>
        <v>88</v>
      </c>
      <c r="Q88" s="21"/>
      <c r="R88" s="21"/>
      <c r="S88" s="22"/>
      <c r="T88" s="22"/>
      <c r="U88" s="22"/>
      <c r="V88" s="22"/>
    </row>
    <row r="89" spans="1:22" x14ac:dyDescent="0.2">
      <c r="A89" s="14"/>
      <c r="B89" s="15"/>
      <c r="C89" s="15"/>
      <c r="D89" s="16"/>
      <c r="E89" s="17"/>
      <c r="F89" s="15"/>
      <c r="G89" s="17"/>
      <c r="H89" s="17"/>
      <c r="I89" s="17"/>
      <c r="J89" s="17"/>
      <c r="K89" s="17"/>
      <c r="L89" s="17"/>
      <c r="M89" s="17"/>
      <c r="N89" s="15"/>
      <c r="O89" s="15"/>
      <c r="P89" s="1">
        <f t="shared" si="2"/>
        <v>89</v>
      </c>
      <c r="Q89" s="21"/>
      <c r="R89" s="21"/>
      <c r="S89" s="22"/>
      <c r="T89" s="22"/>
      <c r="U89" s="22"/>
      <c r="V89" s="22"/>
    </row>
    <row r="90" spans="1:22" x14ac:dyDescent="0.2">
      <c r="A90" s="14"/>
      <c r="B90" s="15"/>
      <c r="C90" s="15"/>
      <c r="D90" s="16"/>
      <c r="E90" s="17"/>
      <c r="F90" s="15"/>
      <c r="G90" s="17"/>
      <c r="H90" s="17"/>
      <c r="I90" s="17"/>
      <c r="J90" s="17"/>
      <c r="K90" s="17"/>
      <c r="L90" s="17"/>
      <c r="M90" s="17"/>
      <c r="N90" s="15"/>
      <c r="O90" s="15"/>
      <c r="P90" s="1">
        <f t="shared" si="2"/>
        <v>90</v>
      </c>
      <c r="Q90" s="21"/>
      <c r="R90" s="21"/>
      <c r="S90" s="22"/>
      <c r="T90" s="22"/>
      <c r="U90" s="22"/>
      <c r="V90" s="22"/>
    </row>
    <row r="91" spans="1:22" x14ac:dyDescent="0.2">
      <c r="A91" s="14"/>
      <c r="B91" s="15"/>
      <c r="C91" s="15"/>
      <c r="D91" s="16"/>
      <c r="E91" s="17"/>
      <c r="F91" s="15"/>
      <c r="G91" s="17"/>
      <c r="H91" s="17"/>
      <c r="I91" s="17"/>
      <c r="J91" s="17"/>
      <c r="K91" s="17"/>
      <c r="L91" s="17"/>
      <c r="M91" s="17"/>
      <c r="N91" s="15"/>
      <c r="O91" s="15"/>
      <c r="P91" s="1">
        <f t="shared" si="2"/>
        <v>91</v>
      </c>
      <c r="Q91" s="21"/>
      <c r="R91" s="21"/>
      <c r="S91" s="22"/>
      <c r="T91" s="22"/>
      <c r="U91" s="22"/>
      <c r="V91" s="22"/>
    </row>
    <row r="92" spans="1:22" x14ac:dyDescent="0.2">
      <c r="A92" s="14"/>
      <c r="B92" s="15"/>
      <c r="C92" s="15"/>
      <c r="D92" s="16"/>
      <c r="E92" s="17"/>
      <c r="F92" s="15"/>
      <c r="G92" s="17"/>
      <c r="H92" s="17"/>
      <c r="I92" s="17"/>
      <c r="J92" s="17"/>
      <c r="K92" s="17"/>
      <c r="L92" s="17"/>
      <c r="M92" s="17"/>
      <c r="N92" s="15"/>
      <c r="O92" s="15"/>
      <c r="P92" s="1">
        <f t="shared" si="2"/>
        <v>92</v>
      </c>
      <c r="Q92" s="21"/>
      <c r="R92" s="21"/>
      <c r="S92" s="22"/>
      <c r="T92" s="22"/>
      <c r="U92" s="22"/>
      <c r="V92" s="22"/>
    </row>
    <row r="93" spans="1:22" x14ac:dyDescent="0.2">
      <c r="A93" s="14"/>
      <c r="B93" s="15"/>
      <c r="C93" s="15"/>
      <c r="D93" s="16"/>
      <c r="E93" s="17"/>
      <c r="F93" s="15"/>
      <c r="G93" s="17"/>
      <c r="H93" s="17"/>
      <c r="I93" s="17"/>
      <c r="J93" s="17"/>
      <c r="K93" s="17"/>
      <c r="L93" s="17"/>
      <c r="M93" s="17"/>
      <c r="N93" s="15"/>
      <c r="O93" s="15"/>
      <c r="P93" s="1">
        <f t="shared" si="2"/>
        <v>93</v>
      </c>
      <c r="Q93" s="21"/>
      <c r="R93" s="21"/>
      <c r="S93" s="22"/>
      <c r="T93" s="22"/>
      <c r="U93" s="22"/>
      <c r="V93" s="22"/>
    </row>
    <row r="94" spans="1:22" x14ac:dyDescent="0.2">
      <c r="A94" s="14"/>
      <c r="B94" s="15"/>
      <c r="C94" s="15"/>
      <c r="D94" s="16"/>
      <c r="E94" s="17"/>
      <c r="F94" s="15"/>
      <c r="G94" s="17"/>
      <c r="H94" s="17"/>
      <c r="I94" s="17"/>
      <c r="J94" s="17"/>
      <c r="K94" s="17"/>
      <c r="L94" s="17"/>
      <c r="M94" s="17"/>
      <c r="N94" s="15"/>
      <c r="O94" s="15"/>
      <c r="P94" s="1">
        <f t="shared" si="2"/>
        <v>94</v>
      </c>
      <c r="Q94" s="21"/>
      <c r="R94" s="21"/>
      <c r="S94" s="22"/>
      <c r="T94" s="22"/>
      <c r="U94" s="22"/>
      <c r="V94" s="22"/>
    </row>
    <row r="95" spans="1:22" x14ac:dyDescent="0.2">
      <c r="A95" s="14"/>
      <c r="B95" s="15"/>
      <c r="C95" s="15"/>
      <c r="D95" s="16"/>
      <c r="E95" s="17"/>
      <c r="F95" s="15"/>
      <c r="G95" s="17"/>
      <c r="H95" s="17"/>
      <c r="I95" s="17"/>
      <c r="J95" s="17"/>
      <c r="K95" s="17"/>
      <c r="L95" s="17"/>
      <c r="M95" s="17"/>
      <c r="N95" s="15"/>
      <c r="O95" s="15"/>
      <c r="P95" s="1">
        <f t="shared" si="2"/>
        <v>95</v>
      </c>
      <c r="Q95" s="21"/>
      <c r="R95" s="21"/>
      <c r="S95" s="22"/>
      <c r="T95" s="22"/>
      <c r="U95" s="22"/>
      <c r="V95" s="22"/>
    </row>
    <row r="96" spans="1:22" x14ac:dyDescent="0.2">
      <c r="A96" s="14"/>
      <c r="B96" s="15"/>
      <c r="C96" s="15"/>
      <c r="D96" s="16"/>
      <c r="E96" s="17"/>
      <c r="F96" s="15"/>
      <c r="G96" s="17"/>
      <c r="H96" s="17"/>
      <c r="I96" s="17"/>
      <c r="J96" s="17"/>
      <c r="K96" s="17"/>
      <c r="L96" s="17"/>
      <c r="M96" s="17"/>
      <c r="N96" s="15"/>
      <c r="O96" s="15"/>
      <c r="P96" s="1">
        <f t="shared" si="2"/>
        <v>96</v>
      </c>
      <c r="Q96" s="21"/>
      <c r="R96" s="21"/>
      <c r="S96" s="22"/>
      <c r="T96" s="22"/>
      <c r="U96" s="22"/>
      <c r="V96" s="22"/>
    </row>
    <row r="97" spans="1:22" x14ac:dyDescent="0.2">
      <c r="A97" s="14"/>
      <c r="B97" s="15"/>
      <c r="C97" s="15"/>
      <c r="D97" s="16"/>
      <c r="E97" s="17"/>
      <c r="F97" s="15"/>
      <c r="G97" s="17"/>
      <c r="H97" s="17"/>
      <c r="I97" s="17"/>
      <c r="J97" s="17"/>
      <c r="K97" s="17"/>
      <c r="L97" s="17"/>
      <c r="M97" s="17"/>
      <c r="N97" s="15"/>
      <c r="O97" s="15"/>
      <c r="P97" s="1">
        <f t="shared" ref="P97:P121" si="3">P96+1</f>
        <v>97</v>
      </c>
      <c r="Q97" s="21"/>
      <c r="R97" s="21"/>
      <c r="S97" s="22"/>
      <c r="T97" s="22"/>
      <c r="U97" s="22"/>
      <c r="V97" s="22"/>
    </row>
    <row r="98" spans="1:22" x14ac:dyDescent="0.2">
      <c r="A98" s="14"/>
      <c r="B98" s="15"/>
      <c r="C98" s="15"/>
      <c r="D98" s="16"/>
      <c r="E98" s="17"/>
      <c r="F98" s="15"/>
      <c r="G98" s="17"/>
      <c r="H98" s="17"/>
      <c r="I98" s="17"/>
      <c r="J98" s="17"/>
      <c r="K98" s="17"/>
      <c r="L98" s="17"/>
      <c r="M98" s="17"/>
      <c r="N98" s="15"/>
      <c r="O98" s="15"/>
      <c r="P98" s="1">
        <f t="shared" si="3"/>
        <v>98</v>
      </c>
      <c r="Q98" s="21"/>
      <c r="R98" s="21"/>
      <c r="S98" s="22"/>
      <c r="T98" s="22"/>
      <c r="U98" s="22"/>
      <c r="V98" s="22"/>
    </row>
    <row r="99" spans="1:22" x14ac:dyDescent="0.2">
      <c r="A99" s="14"/>
      <c r="B99" s="15"/>
      <c r="C99" s="15"/>
      <c r="D99" s="16"/>
      <c r="E99" s="17"/>
      <c r="F99" s="15"/>
      <c r="G99" s="17"/>
      <c r="H99" s="17"/>
      <c r="I99" s="17"/>
      <c r="J99" s="17"/>
      <c r="K99" s="17"/>
      <c r="L99" s="17"/>
      <c r="M99" s="17"/>
      <c r="N99" s="15"/>
      <c r="O99" s="15"/>
      <c r="P99" s="1">
        <f t="shared" si="3"/>
        <v>99</v>
      </c>
      <c r="Q99" s="21"/>
      <c r="R99" s="21"/>
      <c r="S99" s="22"/>
      <c r="T99" s="22"/>
      <c r="U99" s="22"/>
      <c r="V99" s="22"/>
    </row>
    <row r="100" spans="1:22" x14ac:dyDescent="0.2">
      <c r="A100" s="14"/>
      <c r="B100" s="15"/>
      <c r="C100" s="15"/>
      <c r="D100" s="16"/>
      <c r="E100" s="17"/>
      <c r="F100" s="15"/>
      <c r="G100" s="17"/>
      <c r="H100" s="17"/>
      <c r="I100" s="17"/>
      <c r="J100" s="17"/>
      <c r="K100" s="17"/>
      <c r="L100" s="17"/>
      <c r="M100" s="17"/>
      <c r="N100" s="15"/>
      <c r="O100" s="15"/>
      <c r="P100" s="1">
        <f t="shared" si="3"/>
        <v>100</v>
      </c>
      <c r="Q100" s="21"/>
      <c r="R100" s="21"/>
      <c r="S100" s="22"/>
      <c r="T100" s="22"/>
      <c r="U100" s="22"/>
      <c r="V100" s="22"/>
    </row>
    <row r="101" spans="1:22" x14ac:dyDescent="0.2">
      <c r="A101" s="14"/>
      <c r="B101" s="15"/>
      <c r="C101" s="15"/>
      <c r="D101" s="16"/>
      <c r="E101" s="17"/>
      <c r="F101" s="15"/>
      <c r="G101" s="17"/>
      <c r="H101" s="17"/>
      <c r="I101" s="17"/>
      <c r="J101" s="17"/>
      <c r="K101" s="17"/>
      <c r="L101" s="17"/>
      <c r="M101" s="17"/>
      <c r="N101" s="15"/>
      <c r="O101" s="15"/>
      <c r="P101" s="1">
        <f t="shared" si="3"/>
        <v>101</v>
      </c>
      <c r="Q101" s="21"/>
      <c r="R101" s="21"/>
      <c r="S101" s="22"/>
      <c r="T101" s="22"/>
      <c r="U101" s="22"/>
      <c r="V101" s="22"/>
    </row>
    <row r="102" spans="1:22" x14ac:dyDescent="0.2">
      <c r="A102" s="14"/>
      <c r="B102" s="15"/>
      <c r="C102" s="15"/>
      <c r="D102" s="16"/>
      <c r="E102" s="17"/>
      <c r="F102" s="15"/>
      <c r="G102" s="17"/>
      <c r="H102" s="17"/>
      <c r="I102" s="17"/>
      <c r="J102" s="17"/>
      <c r="K102" s="17"/>
      <c r="L102" s="17"/>
      <c r="M102" s="17"/>
      <c r="N102" s="15"/>
      <c r="O102" s="15"/>
      <c r="P102" s="1">
        <f t="shared" si="3"/>
        <v>102</v>
      </c>
      <c r="Q102" s="21"/>
      <c r="R102" s="21"/>
      <c r="S102" s="22"/>
      <c r="T102" s="22"/>
      <c r="U102" s="22"/>
      <c r="V102" s="22"/>
    </row>
    <row r="103" spans="1:22" x14ac:dyDescent="0.2">
      <c r="A103" s="14"/>
      <c r="B103" s="15"/>
      <c r="C103" s="15"/>
      <c r="D103" s="16"/>
      <c r="E103" s="17"/>
      <c r="F103" s="15"/>
      <c r="G103" s="17"/>
      <c r="H103" s="17"/>
      <c r="I103" s="17"/>
      <c r="J103" s="17"/>
      <c r="K103" s="17"/>
      <c r="L103" s="17"/>
      <c r="M103" s="17"/>
      <c r="N103" s="15"/>
      <c r="O103" s="15"/>
      <c r="P103" s="1">
        <f t="shared" si="3"/>
        <v>103</v>
      </c>
      <c r="Q103" s="21"/>
      <c r="R103" s="21"/>
      <c r="S103" s="22"/>
      <c r="T103" s="22"/>
      <c r="U103" s="22"/>
      <c r="V103" s="22"/>
    </row>
    <row r="104" spans="1:22" x14ac:dyDescent="0.2">
      <c r="A104" s="14"/>
      <c r="B104" s="15"/>
      <c r="C104" s="15"/>
      <c r="D104" s="16"/>
      <c r="E104" s="17"/>
      <c r="F104" s="15"/>
      <c r="G104" s="17"/>
      <c r="H104" s="17"/>
      <c r="I104" s="17"/>
      <c r="J104" s="17"/>
      <c r="K104" s="17"/>
      <c r="L104" s="17"/>
      <c r="M104" s="17"/>
      <c r="N104" s="15"/>
      <c r="O104" s="15"/>
      <c r="P104" s="1">
        <f t="shared" si="3"/>
        <v>104</v>
      </c>
      <c r="Q104" s="21"/>
      <c r="R104" s="21"/>
      <c r="S104" s="22"/>
      <c r="T104" s="22"/>
      <c r="U104" s="22"/>
      <c r="V104" s="22"/>
    </row>
    <row r="105" spans="1:22" x14ac:dyDescent="0.2">
      <c r="A105" s="14"/>
      <c r="B105" s="15"/>
      <c r="C105" s="15"/>
      <c r="D105" s="16"/>
      <c r="E105" s="17"/>
      <c r="F105" s="15"/>
      <c r="G105" s="17"/>
      <c r="H105" s="17"/>
      <c r="I105" s="17"/>
      <c r="J105" s="17"/>
      <c r="K105" s="17"/>
      <c r="L105" s="17"/>
      <c r="M105" s="17"/>
      <c r="N105" s="15"/>
      <c r="O105" s="15"/>
      <c r="P105" s="1">
        <f t="shared" si="3"/>
        <v>105</v>
      </c>
      <c r="Q105" s="21"/>
      <c r="R105" s="21"/>
      <c r="S105" s="22"/>
      <c r="T105" s="22"/>
      <c r="U105" s="22"/>
      <c r="V105" s="22"/>
    </row>
    <row r="106" spans="1:22" x14ac:dyDescent="0.2">
      <c r="A106" s="14"/>
      <c r="B106" s="15"/>
      <c r="C106" s="15"/>
      <c r="D106" s="16"/>
      <c r="E106" s="17"/>
      <c r="F106" s="15"/>
      <c r="G106" s="17"/>
      <c r="H106" s="17"/>
      <c r="I106" s="17"/>
      <c r="J106" s="17"/>
      <c r="K106" s="17"/>
      <c r="L106" s="17"/>
      <c r="M106" s="17"/>
      <c r="N106" s="15"/>
      <c r="O106" s="15"/>
      <c r="P106" s="1">
        <f t="shared" si="3"/>
        <v>106</v>
      </c>
      <c r="Q106" s="21"/>
      <c r="R106" s="21"/>
      <c r="S106" s="22"/>
      <c r="T106" s="22"/>
      <c r="U106" s="22"/>
      <c r="V106" s="22"/>
    </row>
    <row r="107" spans="1:22" x14ac:dyDescent="0.2">
      <c r="A107" s="14"/>
      <c r="B107" s="15"/>
      <c r="C107" s="15"/>
      <c r="D107" s="16"/>
      <c r="E107" s="17"/>
      <c r="F107" s="15"/>
      <c r="G107" s="17"/>
      <c r="H107" s="17"/>
      <c r="I107" s="17"/>
      <c r="J107" s="17"/>
      <c r="K107" s="17"/>
      <c r="L107" s="17"/>
      <c r="M107" s="17"/>
      <c r="N107" s="15"/>
      <c r="O107" s="15"/>
      <c r="P107" s="1">
        <f t="shared" si="3"/>
        <v>107</v>
      </c>
      <c r="Q107" s="21"/>
      <c r="R107" s="21"/>
      <c r="S107" s="22"/>
      <c r="T107" s="22"/>
      <c r="U107" s="22"/>
      <c r="V107" s="22"/>
    </row>
    <row r="108" spans="1:22" x14ac:dyDescent="0.2">
      <c r="A108" s="14"/>
      <c r="B108" s="15"/>
      <c r="C108" s="15"/>
      <c r="D108" s="16"/>
      <c r="E108" s="17"/>
      <c r="F108" s="15"/>
      <c r="G108" s="17"/>
      <c r="H108" s="17"/>
      <c r="I108" s="17"/>
      <c r="J108" s="17"/>
      <c r="K108" s="17"/>
      <c r="L108" s="17"/>
      <c r="M108" s="17"/>
      <c r="N108" s="15"/>
      <c r="O108" s="15"/>
      <c r="P108" s="1">
        <f t="shared" si="3"/>
        <v>108</v>
      </c>
      <c r="Q108" s="21"/>
      <c r="R108" s="21"/>
      <c r="S108" s="22"/>
      <c r="T108" s="22"/>
      <c r="U108" s="22"/>
      <c r="V108" s="22"/>
    </row>
    <row r="109" spans="1:22" x14ac:dyDescent="0.2">
      <c r="A109" s="14"/>
      <c r="B109" s="15"/>
      <c r="C109" s="15"/>
      <c r="D109" s="16"/>
      <c r="E109" s="17"/>
      <c r="F109" s="15"/>
      <c r="G109" s="17"/>
      <c r="H109" s="17"/>
      <c r="I109" s="17"/>
      <c r="J109" s="17"/>
      <c r="K109" s="17"/>
      <c r="L109" s="17"/>
      <c r="M109" s="17"/>
      <c r="N109" s="15"/>
      <c r="O109" s="15"/>
      <c r="P109" s="1">
        <f t="shared" si="3"/>
        <v>109</v>
      </c>
      <c r="Q109" s="21"/>
      <c r="R109" s="21"/>
      <c r="S109" s="22"/>
      <c r="T109" s="22"/>
      <c r="U109" s="22"/>
      <c r="V109" s="22"/>
    </row>
    <row r="110" spans="1:22" x14ac:dyDescent="0.2">
      <c r="A110" s="14"/>
      <c r="B110" s="15"/>
      <c r="C110" s="15"/>
      <c r="D110" s="16"/>
      <c r="E110" s="17"/>
      <c r="F110" s="15"/>
      <c r="G110" s="17"/>
      <c r="H110" s="17"/>
      <c r="I110" s="17"/>
      <c r="J110" s="17"/>
      <c r="K110" s="17"/>
      <c r="L110" s="17"/>
      <c r="M110" s="17"/>
      <c r="N110" s="15"/>
      <c r="O110" s="15"/>
      <c r="P110" s="1">
        <f t="shared" si="3"/>
        <v>110</v>
      </c>
      <c r="Q110" s="21"/>
      <c r="R110" s="21"/>
      <c r="S110" s="22"/>
      <c r="T110" s="22"/>
      <c r="U110" s="22"/>
      <c r="V110" s="22"/>
    </row>
    <row r="111" spans="1:22" x14ac:dyDescent="0.2">
      <c r="A111" s="14"/>
      <c r="B111" s="15"/>
      <c r="C111" s="15"/>
      <c r="D111" s="16"/>
      <c r="E111" s="17"/>
      <c r="F111" s="15"/>
      <c r="G111" s="17"/>
      <c r="H111" s="17"/>
      <c r="I111" s="17"/>
      <c r="J111" s="17"/>
      <c r="K111" s="17"/>
      <c r="L111" s="17"/>
      <c r="M111" s="17"/>
      <c r="N111" s="15"/>
      <c r="O111" s="15"/>
      <c r="P111" s="1">
        <f t="shared" si="3"/>
        <v>111</v>
      </c>
      <c r="Q111" s="21"/>
      <c r="R111" s="21"/>
      <c r="S111" s="22"/>
      <c r="T111" s="22"/>
      <c r="U111" s="22"/>
      <c r="V111" s="22"/>
    </row>
    <row r="112" spans="1:22" x14ac:dyDescent="0.2">
      <c r="A112" s="14"/>
      <c r="B112" s="15"/>
      <c r="C112" s="15"/>
      <c r="D112" s="16"/>
      <c r="E112" s="17"/>
      <c r="F112" s="15"/>
      <c r="G112" s="17"/>
      <c r="H112" s="17"/>
      <c r="I112" s="17"/>
      <c r="J112" s="17"/>
      <c r="K112" s="17"/>
      <c r="L112" s="17"/>
      <c r="M112" s="17"/>
      <c r="N112" s="15"/>
      <c r="O112" s="15"/>
      <c r="P112" s="1">
        <f t="shared" si="3"/>
        <v>112</v>
      </c>
      <c r="Q112" s="21"/>
      <c r="R112" s="21"/>
      <c r="S112" s="22"/>
      <c r="T112" s="22"/>
      <c r="U112" s="22"/>
      <c r="V112" s="22"/>
    </row>
    <row r="113" spans="1:22" x14ac:dyDescent="0.2">
      <c r="A113" s="14"/>
      <c r="B113" s="15"/>
      <c r="C113" s="15"/>
      <c r="D113" s="16"/>
      <c r="E113" s="17"/>
      <c r="F113" s="15"/>
      <c r="G113" s="17"/>
      <c r="H113" s="17"/>
      <c r="I113" s="17"/>
      <c r="J113" s="17"/>
      <c r="K113" s="17"/>
      <c r="L113" s="17"/>
      <c r="M113" s="17"/>
      <c r="N113" s="15"/>
      <c r="O113" s="15"/>
      <c r="P113" s="1">
        <f t="shared" si="3"/>
        <v>113</v>
      </c>
      <c r="Q113" s="21"/>
      <c r="R113" s="21"/>
      <c r="S113" s="22"/>
      <c r="T113" s="22"/>
      <c r="U113" s="22"/>
      <c r="V113" s="22"/>
    </row>
    <row r="114" spans="1:22" x14ac:dyDescent="0.2">
      <c r="A114" s="14"/>
      <c r="B114" s="15"/>
      <c r="C114" s="15"/>
      <c r="D114" s="16"/>
      <c r="E114" s="17"/>
      <c r="F114" s="15"/>
      <c r="G114" s="17"/>
      <c r="H114" s="17"/>
      <c r="I114" s="17"/>
      <c r="J114" s="17"/>
      <c r="K114" s="17"/>
      <c r="L114" s="17"/>
      <c r="M114" s="17"/>
      <c r="N114" s="15"/>
      <c r="O114" s="15"/>
      <c r="P114" s="1">
        <f t="shared" si="3"/>
        <v>114</v>
      </c>
      <c r="Q114" s="21"/>
      <c r="R114" s="21"/>
      <c r="S114" s="22"/>
      <c r="T114" s="22"/>
      <c r="U114" s="22"/>
      <c r="V114" s="22"/>
    </row>
    <row r="115" spans="1:22" x14ac:dyDescent="0.2">
      <c r="A115" s="14"/>
      <c r="B115" s="15"/>
      <c r="C115" s="15"/>
      <c r="D115" s="16"/>
      <c r="E115" s="17"/>
      <c r="F115" s="15"/>
      <c r="G115" s="17"/>
      <c r="H115" s="17"/>
      <c r="I115" s="17"/>
      <c r="J115" s="17"/>
      <c r="K115" s="17"/>
      <c r="L115" s="17"/>
      <c r="M115" s="17"/>
      <c r="N115" s="15"/>
      <c r="O115" s="15"/>
      <c r="P115" s="1">
        <f t="shared" si="3"/>
        <v>115</v>
      </c>
      <c r="Q115" s="21"/>
      <c r="R115" s="21"/>
      <c r="S115" s="22"/>
      <c r="T115" s="22"/>
      <c r="U115" s="22"/>
      <c r="V115" s="22"/>
    </row>
    <row r="116" spans="1:22" x14ac:dyDescent="0.2">
      <c r="A116" s="14"/>
      <c r="B116" s="15"/>
      <c r="C116" s="15"/>
      <c r="D116" s="16"/>
      <c r="E116" s="17"/>
      <c r="F116" s="15"/>
      <c r="G116" s="17"/>
      <c r="H116" s="17"/>
      <c r="I116" s="17"/>
      <c r="J116" s="17"/>
      <c r="K116" s="17"/>
      <c r="L116" s="17"/>
      <c r="M116" s="17"/>
      <c r="N116" s="15"/>
      <c r="O116" s="15"/>
      <c r="P116" s="1">
        <f t="shared" si="3"/>
        <v>116</v>
      </c>
      <c r="Q116" s="21"/>
      <c r="R116" s="21"/>
      <c r="S116" s="22"/>
      <c r="T116" s="22"/>
      <c r="U116" s="22"/>
      <c r="V116" s="22"/>
    </row>
    <row r="117" spans="1:22" x14ac:dyDescent="0.2">
      <c r="A117" s="14"/>
      <c r="B117" s="15"/>
      <c r="C117" s="15"/>
      <c r="D117" s="16"/>
      <c r="E117" s="17"/>
      <c r="F117" s="15"/>
      <c r="G117" s="17"/>
      <c r="H117" s="17"/>
      <c r="I117" s="17"/>
      <c r="J117" s="17"/>
      <c r="K117" s="17"/>
      <c r="L117" s="17"/>
      <c r="M117" s="17"/>
      <c r="N117" s="15"/>
      <c r="O117" s="15"/>
      <c r="P117" s="1">
        <f t="shared" si="3"/>
        <v>117</v>
      </c>
      <c r="Q117" s="21"/>
      <c r="R117" s="21"/>
      <c r="S117" s="22"/>
      <c r="T117" s="22"/>
      <c r="U117" s="22"/>
      <c r="V117" s="22"/>
    </row>
    <row r="118" spans="1:22" x14ac:dyDescent="0.2">
      <c r="A118" s="14"/>
      <c r="B118" s="15"/>
      <c r="C118" s="15"/>
      <c r="D118" s="16"/>
      <c r="E118" s="17"/>
      <c r="F118" s="15"/>
      <c r="G118" s="17"/>
      <c r="H118" s="17"/>
      <c r="I118" s="17"/>
      <c r="J118" s="17"/>
      <c r="K118" s="17"/>
      <c r="L118" s="17"/>
      <c r="M118" s="17"/>
      <c r="N118" s="15"/>
      <c r="O118" s="15"/>
      <c r="P118" s="1">
        <f t="shared" si="3"/>
        <v>118</v>
      </c>
      <c r="Q118" s="21"/>
      <c r="R118" s="21"/>
      <c r="S118" s="22"/>
      <c r="T118" s="22"/>
      <c r="U118" s="22"/>
      <c r="V118" s="22"/>
    </row>
    <row r="119" spans="1:22" x14ac:dyDescent="0.2">
      <c r="A119" s="14"/>
      <c r="B119" s="15"/>
      <c r="C119" s="15"/>
      <c r="D119" s="16"/>
      <c r="E119" s="17"/>
      <c r="F119" s="15"/>
      <c r="G119" s="17"/>
      <c r="H119" s="17"/>
      <c r="I119" s="17"/>
      <c r="J119" s="17"/>
      <c r="K119" s="17"/>
      <c r="L119" s="17"/>
      <c r="M119" s="17"/>
      <c r="N119" s="15"/>
      <c r="O119" s="15"/>
      <c r="P119" s="1">
        <f t="shared" si="3"/>
        <v>119</v>
      </c>
      <c r="Q119" s="21"/>
      <c r="R119" s="21"/>
      <c r="S119" s="22"/>
      <c r="T119" s="22"/>
      <c r="U119" s="22"/>
      <c r="V119" s="22"/>
    </row>
    <row r="120" spans="1:22" x14ac:dyDescent="0.2">
      <c r="A120" s="14"/>
      <c r="B120" s="15"/>
      <c r="C120" s="15"/>
      <c r="D120" s="16"/>
      <c r="E120" s="17"/>
      <c r="F120" s="15"/>
      <c r="G120" s="17"/>
      <c r="H120" s="17"/>
      <c r="I120" s="17"/>
      <c r="J120" s="17"/>
      <c r="K120" s="17"/>
      <c r="L120" s="17"/>
      <c r="M120" s="17"/>
      <c r="N120" s="15"/>
      <c r="O120" s="15"/>
      <c r="P120" s="1">
        <f t="shared" si="3"/>
        <v>120</v>
      </c>
      <c r="Q120" s="21"/>
      <c r="R120" s="21"/>
      <c r="S120" s="22"/>
      <c r="T120" s="22"/>
      <c r="U120" s="22"/>
      <c r="V120" s="22"/>
    </row>
    <row r="121" spans="1:22" x14ac:dyDescent="0.2">
      <c r="A121" s="14"/>
      <c r="B121" s="15"/>
      <c r="C121" s="15"/>
      <c r="D121" s="16"/>
      <c r="E121" s="17"/>
      <c r="F121" s="15"/>
      <c r="G121" s="17"/>
      <c r="H121" s="17"/>
      <c r="I121" s="17"/>
      <c r="J121" s="17"/>
      <c r="K121" s="17"/>
      <c r="L121" s="17"/>
      <c r="M121" s="17"/>
      <c r="N121" s="15"/>
      <c r="O121" s="15"/>
      <c r="P121" s="1">
        <f t="shared" si="3"/>
        <v>121</v>
      </c>
      <c r="Q121" s="21"/>
      <c r="R121" s="21"/>
      <c r="S121" s="22"/>
      <c r="T121" s="22"/>
      <c r="U121" s="22"/>
      <c r="V121" s="22"/>
    </row>
    <row r="122" spans="1:22" x14ac:dyDescent="0.2">
      <c r="A122" s="14"/>
      <c r="B122" s="15"/>
      <c r="C122" s="15"/>
      <c r="D122" s="16"/>
      <c r="E122" s="17"/>
      <c r="F122" s="15"/>
      <c r="G122" s="17"/>
      <c r="H122" s="17"/>
      <c r="I122" s="17"/>
      <c r="J122" s="17"/>
      <c r="K122" s="17"/>
      <c r="L122" s="17"/>
      <c r="M122" s="17"/>
      <c r="N122" s="15"/>
      <c r="O122" s="15"/>
    </row>
    <row r="123" spans="1:22" x14ac:dyDescent="0.2">
      <c r="A123" s="14"/>
      <c r="B123" s="15"/>
      <c r="C123" s="15"/>
      <c r="D123" s="16"/>
      <c r="E123" s="17"/>
      <c r="F123" s="15"/>
      <c r="G123" s="17"/>
      <c r="H123" s="17"/>
      <c r="I123" s="17"/>
      <c r="J123" s="17"/>
      <c r="K123" s="17"/>
      <c r="L123" s="17"/>
      <c r="M123" s="17"/>
      <c r="N123" s="15"/>
      <c r="O123" s="15"/>
    </row>
    <row r="124" spans="1:22" x14ac:dyDescent="0.2">
      <c r="A124" s="14"/>
      <c r="B124" s="15"/>
      <c r="C124" s="15"/>
      <c r="D124" s="16"/>
      <c r="E124" s="17"/>
      <c r="F124" s="15"/>
      <c r="G124" s="17"/>
      <c r="H124" s="17"/>
      <c r="I124" s="17"/>
      <c r="J124" s="17"/>
      <c r="K124" s="17"/>
      <c r="L124" s="17"/>
      <c r="M124" s="17"/>
      <c r="N124" s="15"/>
      <c r="O124" s="15"/>
    </row>
    <row r="125" spans="1:22" x14ac:dyDescent="0.2">
      <c r="A125" s="14"/>
      <c r="B125" s="15"/>
      <c r="C125" s="15"/>
      <c r="D125" s="16"/>
      <c r="E125" s="17"/>
      <c r="F125" s="15"/>
      <c r="G125" s="17"/>
      <c r="H125" s="17"/>
      <c r="I125" s="17"/>
      <c r="J125" s="17"/>
      <c r="K125" s="17"/>
      <c r="L125" s="17"/>
      <c r="M125" s="17"/>
      <c r="N125" s="15"/>
      <c r="O125" s="15"/>
    </row>
    <row r="126" spans="1:22" x14ac:dyDescent="0.2">
      <c r="A126" s="14"/>
      <c r="B126" s="15"/>
      <c r="C126" s="15"/>
      <c r="D126" s="16"/>
      <c r="E126" s="17"/>
      <c r="F126" s="15"/>
      <c r="G126" s="17"/>
      <c r="H126" s="17"/>
      <c r="I126" s="17"/>
      <c r="J126" s="17"/>
      <c r="K126" s="17"/>
      <c r="L126" s="17"/>
      <c r="M126" s="17"/>
      <c r="N126" s="15"/>
      <c r="O126" s="15"/>
    </row>
    <row r="127" spans="1:22" x14ac:dyDescent="0.2">
      <c r="A127" s="14"/>
      <c r="B127" s="15"/>
      <c r="C127" s="15"/>
      <c r="D127" s="16"/>
      <c r="E127" s="17"/>
      <c r="F127" s="15"/>
      <c r="G127" s="17"/>
      <c r="H127" s="17"/>
      <c r="I127" s="17"/>
      <c r="J127" s="17"/>
      <c r="K127" s="17"/>
      <c r="L127" s="17"/>
      <c r="M127" s="17"/>
      <c r="N127" s="15"/>
      <c r="O127" s="15"/>
    </row>
    <row r="128" spans="1:22" x14ac:dyDescent="0.2">
      <c r="A128" s="14"/>
      <c r="B128" s="15"/>
      <c r="C128" s="15"/>
      <c r="D128" s="16"/>
      <c r="E128" s="17"/>
      <c r="F128" s="15"/>
      <c r="G128" s="17"/>
      <c r="H128" s="17"/>
      <c r="I128" s="17"/>
      <c r="J128" s="17"/>
      <c r="K128" s="17"/>
      <c r="L128" s="17"/>
      <c r="M128" s="17"/>
      <c r="N128" s="15"/>
      <c r="O128" s="15"/>
    </row>
    <row r="129" spans="1:15" x14ac:dyDescent="0.2">
      <c r="A129" s="14"/>
      <c r="B129" s="15"/>
      <c r="C129" s="15"/>
      <c r="D129" s="16"/>
      <c r="E129" s="17"/>
      <c r="F129" s="15"/>
      <c r="G129" s="17"/>
      <c r="H129" s="17"/>
      <c r="I129" s="17"/>
      <c r="J129" s="17"/>
      <c r="K129" s="17"/>
      <c r="L129" s="17"/>
      <c r="M129" s="17"/>
      <c r="N129" s="15"/>
      <c r="O129" s="15"/>
    </row>
    <row r="130" spans="1:15" x14ac:dyDescent="0.2">
      <c r="A130" s="14"/>
      <c r="B130" s="15"/>
      <c r="C130" s="15"/>
      <c r="D130" s="16"/>
      <c r="E130" s="17"/>
      <c r="F130" s="15"/>
      <c r="G130" s="17"/>
      <c r="H130" s="17"/>
      <c r="I130" s="17"/>
      <c r="J130" s="17"/>
      <c r="K130" s="17"/>
      <c r="L130" s="17"/>
      <c r="M130" s="17"/>
      <c r="N130" s="15"/>
      <c r="O130" s="15"/>
    </row>
    <row r="131" spans="1:15" x14ac:dyDescent="0.2">
      <c r="A131" s="14"/>
      <c r="B131" s="15"/>
      <c r="C131" s="15"/>
      <c r="D131" s="16"/>
      <c r="E131" s="17"/>
      <c r="F131" s="15"/>
      <c r="G131" s="17"/>
      <c r="H131" s="17"/>
      <c r="I131" s="17"/>
      <c r="J131" s="17"/>
      <c r="K131" s="17"/>
      <c r="L131" s="17"/>
      <c r="M131" s="17"/>
      <c r="N131" s="15"/>
      <c r="O131" s="15"/>
    </row>
    <row r="132" spans="1:15" x14ac:dyDescent="0.2">
      <c r="A132" s="14"/>
      <c r="B132" s="15"/>
      <c r="C132" s="15"/>
      <c r="D132" s="16"/>
      <c r="E132" s="17"/>
      <c r="F132" s="15"/>
      <c r="G132" s="17"/>
      <c r="H132" s="17"/>
      <c r="I132" s="17"/>
      <c r="J132" s="17"/>
      <c r="K132" s="17"/>
      <c r="L132" s="17"/>
      <c r="M132" s="17"/>
      <c r="N132" s="15"/>
      <c r="O132" s="15"/>
    </row>
    <row r="133" spans="1:15" x14ac:dyDescent="0.2">
      <c r="A133" s="14"/>
      <c r="B133" s="15"/>
      <c r="C133" s="15"/>
      <c r="D133" s="16"/>
      <c r="E133" s="17"/>
      <c r="F133" s="15"/>
      <c r="G133" s="17"/>
      <c r="H133" s="17"/>
      <c r="I133" s="17"/>
      <c r="J133" s="17"/>
      <c r="K133" s="17"/>
      <c r="L133" s="17"/>
      <c r="M133" s="17"/>
      <c r="N133" s="15"/>
      <c r="O133" s="15"/>
    </row>
    <row r="134" spans="1:15" x14ac:dyDescent="0.2">
      <c r="A134" s="14"/>
      <c r="B134" s="15"/>
      <c r="C134" s="15"/>
      <c r="D134" s="16"/>
      <c r="E134" s="17"/>
      <c r="F134" s="15"/>
      <c r="G134" s="17"/>
      <c r="H134" s="17"/>
      <c r="I134" s="17"/>
      <c r="J134" s="17"/>
      <c r="K134" s="17"/>
      <c r="L134" s="17"/>
      <c r="M134" s="17"/>
      <c r="N134" s="15"/>
      <c r="O134" s="15"/>
    </row>
    <row r="135" spans="1:15" x14ac:dyDescent="0.2">
      <c r="A135" s="14"/>
      <c r="B135" s="15"/>
      <c r="C135" s="15"/>
      <c r="D135" s="16"/>
      <c r="E135" s="17"/>
      <c r="F135" s="15"/>
      <c r="G135" s="17"/>
      <c r="H135" s="17"/>
      <c r="I135" s="17"/>
      <c r="J135" s="17"/>
      <c r="K135" s="17"/>
      <c r="L135" s="17"/>
      <c r="M135" s="17"/>
      <c r="N135" s="15"/>
      <c r="O135" s="15"/>
    </row>
    <row r="136" spans="1:15" x14ac:dyDescent="0.2">
      <c r="A136" s="14"/>
      <c r="B136" s="15"/>
      <c r="C136" s="15"/>
      <c r="D136" s="16"/>
      <c r="E136" s="17"/>
      <c r="F136" s="15"/>
      <c r="G136" s="17"/>
      <c r="H136" s="17"/>
      <c r="I136" s="17"/>
      <c r="J136" s="17"/>
      <c r="K136" s="17"/>
      <c r="L136" s="17"/>
      <c r="M136" s="17"/>
      <c r="N136" s="15"/>
      <c r="O136" s="15"/>
    </row>
    <row r="137" spans="1:15" x14ac:dyDescent="0.2">
      <c r="A137" s="14"/>
      <c r="B137" s="15"/>
      <c r="C137" s="15"/>
      <c r="D137" s="16"/>
      <c r="E137" s="17"/>
      <c r="F137" s="15"/>
      <c r="G137" s="17"/>
      <c r="H137" s="17"/>
      <c r="I137" s="17"/>
      <c r="J137" s="17"/>
      <c r="K137" s="17"/>
      <c r="L137" s="17"/>
      <c r="M137" s="17"/>
      <c r="N137" s="15"/>
      <c r="O137" s="15"/>
    </row>
    <row r="138" spans="1:15" x14ac:dyDescent="0.2">
      <c r="A138" s="14"/>
      <c r="B138" s="15"/>
      <c r="C138" s="15"/>
      <c r="D138" s="16"/>
      <c r="E138" s="17"/>
      <c r="F138" s="15"/>
      <c r="G138" s="17"/>
      <c r="H138" s="17"/>
      <c r="I138" s="17"/>
      <c r="J138" s="17"/>
      <c r="K138" s="17"/>
      <c r="L138" s="17"/>
      <c r="M138" s="17"/>
      <c r="N138" s="15"/>
      <c r="O138" s="15"/>
    </row>
    <row r="139" spans="1:15" x14ac:dyDescent="0.2">
      <c r="A139" s="14"/>
      <c r="B139" s="15"/>
      <c r="C139" s="15"/>
      <c r="D139" s="16"/>
      <c r="E139" s="17"/>
      <c r="F139" s="15"/>
      <c r="G139" s="17"/>
      <c r="H139" s="17"/>
      <c r="I139" s="17"/>
      <c r="J139" s="17"/>
      <c r="K139" s="17"/>
      <c r="L139" s="17"/>
      <c r="M139" s="17"/>
      <c r="N139" s="15"/>
      <c r="O139" s="15"/>
    </row>
    <row r="140" spans="1:15" x14ac:dyDescent="0.2">
      <c r="A140" s="14"/>
      <c r="B140" s="15"/>
      <c r="C140" s="15"/>
      <c r="D140" s="16"/>
      <c r="E140" s="17"/>
      <c r="F140" s="15"/>
      <c r="G140" s="17"/>
      <c r="H140" s="17"/>
      <c r="I140" s="17"/>
      <c r="J140" s="17"/>
      <c r="K140" s="17"/>
      <c r="L140" s="17"/>
      <c r="M140" s="17"/>
      <c r="N140" s="15"/>
      <c r="O140" s="15"/>
    </row>
    <row r="141" spans="1:15" x14ac:dyDescent="0.2">
      <c r="A141" s="14"/>
      <c r="B141" s="15"/>
      <c r="C141" s="15"/>
      <c r="D141" s="16"/>
      <c r="E141" s="17"/>
      <c r="F141" s="15"/>
      <c r="G141" s="17"/>
      <c r="H141" s="17"/>
      <c r="I141" s="17"/>
      <c r="J141" s="17"/>
      <c r="K141" s="17"/>
      <c r="L141" s="17"/>
      <c r="M141" s="17"/>
      <c r="N141" s="15"/>
      <c r="O141" s="15"/>
    </row>
    <row r="142" spans="1:15" x14ac:dyDescent="0.2">
      <c r="A142" s="14"/>
      <c r="B142" s="15"/>
      <c r="C142" s="15"/>
      <c r="D142" s="16"/>
      <c r="E142" s="17"/>
      <c r="F142" s="15"/>
      <c r="G142" s="17"/>
      <c r="H142" s="17"/>
      <c r="I142" s="17"/>
      <c r="J142" s="17"/>
      <c r="K142" s="17"/>
      <c r="L142" s="17"/>
      <c r="M142" s="17"/>
      <c r="N142" s="15"/>
      <c r="O142" s="15"/>
    </row>
    <row r="143" spans="1:15" x14ac:dyDescent="0.2">
      <c r="A143" s="14"/>
      <c r="B143" s="15"/>
      <c r="C143" s="15"/>
      <c r="D143" s="16"/>
      <c r="E143" s="17"/>
      <c r="F143" s="15"/>
      <c r="G143" s="17"/>
      <c r="H143" s="17"/>
      <c r="I143" s="17"/>
      <c r="J143" s="17"/>
      <c r="K143" s="17"/>
      <c r="L143" s="17"/>
      <c r="M143" s="17"/>
      <c r="N143" s="15"/>
      <c r="O143" s="15"/>
    </row>
    <row r="144" spans="1:15" x14ac:dyDescent="0.2">
      <c r="A144" s="14"/>
      <c r="B144" s="15"/>
      <c r="C144" s="15"/>
      <c r="D144" s="16"/>
      <c r="E144" s="17"/>
      <c r="F144" s="15"/>
      <c r="G144" s="17"/>
      <c r="H144" s="17"/>
      <c r="I144" s="17"/>
      <c r="J144" s="17"/>
      <c r="K144" s="17"/>
      <c r="L144" s="17"/>
      <c r="M144" s="17"/>
      <c r="N144" s="15"/>
      <c r="O144" s="15"/>
    </row>
    <row r="145" spans="1:15" x14ac:dyDescent="0.2">
      <c r="A145" s="14"/>
      <c r="B145" s="15"/>
      <c r="C145" s="15"/>
      <c r="D145" s="16"/>
      <c r="E145" s="17"/>
      <c r="F145" s="15"/>
      <c r="G145" s="17"/>
      <c r="H145" s="17"/>
      <c r="I145" s="17"/>
      <c r="J145" s="17"/>
      <c r="K145" s="17"/>
      <c r="L145" s="17"/>
      <c r="M145" s="17"/>
      <c r="N145" s="15"/>
      <c r="O145" s="15"/>
    </row>
    <row r="146" spans="1:15" x14ac:dyDescent="0.2">
      <c r="A146" s="14"/>
      <c r="B146" s="15"/>
      <c r="C146" s="15"/>
      <c r="D146" s="16"/>
      <c r="E146" s="17"/>
      <c r="F146" s="15"/>
      <c r="G146" s="17"/>
      <c r="H146" s="17"/>
      <c r="I146" s="17"/>
      <c r="J146" s="17"/>
      <c r="K146" s="17"/>
      <c r="L146" s="17"/>
      <c r="M146" s="17"/>
      <c r="N146" s="15"/>
      <c r="O146" s="15"/>
    </row>
    <row r="147" spans="1:15" x14ac:dyDescent="0.2">
      <c r="A147" s="14"/>
      <c r="B147" s="15"/>
      <c r="C147" s="15"/>
      <c r="D147" s="16"/>
      <c r="E147" s="17"/>
      <c r="F147" s="15"/>
      <c r="G147" s="17"/>
      <c r="H147" s="17"/>
      <c r="I147" s="17"/>
      <c r="J147" s="17"/>
      <c r="K147" s="17"/>
      <c r="L147" s="17"/>
      <c r="M147" s="17"/>
      <c r="N147" s="15"/>
      <c r="O147" s="15"/>
    </row>
    <row r="148" spans="1:15" x14ac:dyDescent="0.2">
      <c r="A148" s="14"/>
      <c r="B148" s="15"/>
      <c r="C148" s="15"/>
      <c r="D148" s="16"/>
      <c r="E148" s="17"/>
      <c r="F148" s="15"/>
      <c r="G148" s="17"/>
      <c r="H148" s="17"/>
      <c r="I148" s="17"/>
      <c r="J148" s="17"/>
      <c r="K148" s="17"/>
      <c r="L148" s="17"/>
      <c r="M148" s="17"/>
      <c r="N148" s="15"/>
      <c r="O148" s="15"/>
    </row>
    <row r="149" spans="1:15" x14ac:dyDescent="0.2">
      <c r="A149" s="14"/>
      <c r="B149" s="15"/>
      <c r="C149" s="15"/>
      <c r="D149" s="16"/>
      <c r="E149" s="17"/>
      <c r="F149" s="15"/>
      <c r="G149" s="17"/>
      <c r="H149" s="17"/>
      <c r="I149" s="17"/>
      <c r="J149" s="17"/>
      <c r="K149" s="17"/>
      <c r="L149" s="17"/>
      <c r="M149" s="17"/>
      <c r="N149" s="15"/>
      <c r="O149" s="15"/>
    </row>
    <row r="150" spans="1:15" x14ac:dyDescent="0.2">
      <c r="A150" s="14"/>
      <c r="B150" s="15"/>
      <c r="C150" s="15"/>
      <c r="D150" s="16"/>
      <c r="E150" s="17"/>
      <c r="F150" s="15"/>
      <c r="G150" s="17"/>
      <c r="H150" s="17"/>
      <c r="I150" s="17"/>
      <c r="J150" s="17"/>
      <c r="K150" s="17"/>
      <c r="L150" s="17"/>
      <c r="M150" s="17"/>
      <c r="N150" s="15"/>
      <c r="O150" s="15"/>
    </row>
    <row r="151" spans="1:15" x14ac:dyDescent="0.2">
      <c r="A151" s="14"/>
      <c r="B151" s="15"/>
      <c r="C151" s="15"/>
      <c r="D151" s="16"/>
      <c r="E151" s="17"/>
      <c r="F151" s="15"/>
      <c r="G151" s="17"/>
      <c r="H151" s="17"/>
      <c r="I151" s="17"/>
      <c r="J151" s="17"/>
      <c r="K151" s="17"/>
      <c r="L151" s="17"/>
      <c r="M151" s="17"/>
      <c r="N151" s="15"/>
      <c r="O151" s="15"/>
    </row>
    <row r="152" spans="1:15" x14ac:dyDescent="0.2">
      <c r="A152" s="14"/>
      <c r="B152" s="15"/>
      <c r="C152" s="15"/>
      <c r="D152" s="16"/>
      <c r="E152" s="17"/>
      <c r="F152" s="15"/>
      <c r="G152" s="17"/>
      <c r="H152" s="17"/>
      <c r="I152" s="17"/>
      <c r="J152" s="17"/>
      <c r="K152" s="17"/>
      <c r="L152" s="17"/>
      <c r="M152" s="17"/>
      <c r="N152" s="15"/>
      <c r="O152" s="15"/>
    </row>
    <row r="153" spans="1:15" x14ac:dyDescent="0.2">
      <c r="A153" s="14"/>
      <c r="B153" s="15"/>
      <c r="C153" s="15"/>
      <c r="D153" s="16"/>
      <c r="E153" s="17"/>
      <c r="F153" s="15"/>
      <c r="G153" s="17"/>
      <c r="H153" s="17"/>
      <c r="I153" s="17"/>
      <c r="J153" s="17"/>
      <c r="K153" s="17"/>
      <c r="L153" s="17"/>
      <c r="M153" s="17"/>
      <c r="N153" s="15"/>
      <c r="O153" s="15"/>
    </row>
    <row r="154" spans="1:15" x14ac:dyDescent="0.2">
      <c r="A154" s="14"/>
      <c r="B154" s="15"/>
      <c r="C154" s="15"/>
      <c r="D154" s="16"/>
      <c r="E154" s="17"/>
      <c r="F154" s="15"/>
      <c r="G154" s="17"/>
      <c r="H154" s="17"/>
      <c r="I154" s="17"/>
      <c r="J154" s="17"/>
      <c r="K154" s="17"/>
      <c r="L154" s="17"/>
      <c r="M154" s="17"/>
      <c r="N154" s="15"/>
      <c r="O154" s="15"/>
    </row>
    <row r="155" spans="1:15" x14ac:dyDescent="0.2">
      <c r="A155" s="14"/>
      <c r="B155" s="15"/>
      <c r="C155" s="15"/>
      <c r="D155" s="16"/>
      <c r="E155" s="17"/>
      <c r="F155" s="15"/>
      <c r="G155" s="17"/>
      <c r="H155" s="17"/>
      <c r="I155" s="17"/>
      <c r="J155" s="17"/>
      <c r="K155" s="17"/>
      <c r="L155" s="17"/>
      <c r="M155" s="17"/>
      <c r="N155" s="15"/>
      <c r="O155" s="15"/>
    </row>
    <row r="156" spans="1:15" x14ac:dyDescent="0.2">
      <c r="A156" s="14"/>
      <c r="B156" s="15"/>
      <c r="C156" s="15"/>
      <c r="D156" s="16"/>
      <c r="E156" s="17"/>
      <c r="F156" s="15"/>
      <c r="G156" s="17"/>
      <c r="H156" s="17"/>
      <c r="I156" s="17"/>
      <c r="J156" s="17"/>
      <c r="K156" s="17"/>
      <c r="L156" s="17"/>
      <c r="M156" s="17"/>
      <c r="N156" s="15"/>
      <c r="O156" s="15"/>
    </row>
    <row r="157" spans="1:15" x14ac:dyDescent="0.2">
      <c r="A157" s="14"/>
      <c r="B157" s="15"/>
      <c r="C157" s="15"/>
      <c r="D157" s="16"/>
      <c r="E157" s="17"/>
      <c r="F157" s="15"/>
      <c r="G157" s="17"/>
      <c r="H157" s="17"/>
      <c r="I157" s="17"/>
      <c r="J157" s="17"/>
      <c r="K157" s="17"/>
      <c r="L157" s="17"/>
      <c r="M157" s="17"/>
      <c r="N157" s="15"/>
      <c r="O157" s="15"/>
    </row>
    <row r="158" spans="1:15" x14ac:dyDescent="0.2">
      <c r="A158" s="14"/>
      <c r="B158" s="15"/>
      <c r="C158" s="15"/>
      <c r="D158" s="16"/>
      <c r="E158" s="17"/>
      <c r="F158" s="15"/>
      <c r="G158" s="17"/>
      <c r="H158" s="17"/>
      <c r="I158" s="17"/>
      <c r="J158" s="17"/>
      <c r="K158" s="17"/>
      <c r="L158" s="17"/>
      <c r="M158" s="17"/>
      <c r="N158" s="15"/>
      <c r="O158" s="15"/>
    </row>
    <row r="159" spans="1:15" x14ac:dyDescent="0.2">
      <c r="A159" s="14"/>
      <c r="B159" s="15"/>
      <c r="C159" s="15"/>
      <c r="D159" s="16"/>
      <c r="E159" s="17"/>
      <c r="F159" s="15"/>
      <c r="G159" s="17"/>
      <c r="H159" s="17"/>
      <c r="I159" s="17"/>
      <c r="J159" s="17"/>
      <c r="K159" s="17"/>
      <c r="L159" s="17"/>
      <c r="M159" s="17"/>
      <c r="N159" s="15"/>
      <c r="O159" s="15"/>
    </row>
    <row r="160" spans="1:15" x14ac:dyDescent="0.2">
      <c r="A160" s="14"/>
      <c r="B160" s="15"/>
      <c r="C160" s="15"/>
      <c r="D160" s="16"/>
      <c r="E160" s="17"/>
      <c r="F160" s="15"/>
      <c r="G160" s="17"/>
      <c r="H160" s="17"/>
      <c r="I160" s="17"/>
      <c r="J160" s="17"/>
      <c r="K160" s="17"/>
      <c r="L160" s="17"/>
      <c r="M160" s="17"/>
      <c r="N160" s="15"/>
      <c r="O160" s="15"/>
    </row>
    <row r="161" spans="1:15" x14ac:dyDescent="0.2">
      <c r="A161" s="14"/>
      <c r="B161" s="15"/>
      <c r="C161" s="15"/>
      <c r="D161" s="16"/>
      <c r="E161" s="17"/>
      <c r="F161" s="15"/>
      <c r="G161" s="17"/>
      <c r="H161" s="17"/>
      <c r="I161" s="17"/>
      <c r="J161" s="17"/>
      <c r="K161" s="17"/>
      <c r="L161" s="17"/>
      <c r="M161" s="17"/>
      <c r="N161" s="15"/>
      <c r="O161" s="15"/>
    </row>
    <row r="162" spans="1:15" x14ac:dyDescent="0.2">
      <c r="A162" s="14"/>
      <c r="B162" s="15"/>
      <c r="C162" s="15"/>
      <c r="D162" s="16"/>
      <c r="E162" s="17"/>
      <c r="F162" s="15"/>
      <c r="G162" s="17"/>
      <c r="H162" s="17"/>
      <c r="I162" s="17"/>
      <c r="J162" s="17"/>
      <c r="K162" s="17"/>
      <c r="L162" s="17"/>
      <c r="M162" s="17"/>
      <c r="N162" s="15"/>
      <c r="O162" s="15"/>
    </row>
    <row r="163" spans="1:15" x14ac:dyDescent="0.2">
      <c r="A163" s="14"/>
      <c r="B163" s="15"/>
      <c r="C163" s="15"/>
      <c r="D163" s="16"/>
      <c r="E163" s="17"/>
      <c r="F163" s="15"/>
      <c r="G163" s="17"/>
      <c r="H163" s="17"/>
      <c r="I163" s="17"/>
      <c r="J163" s="17"/>
      <c r="K163" s="17"/>
      <c r="L163" s="17"/>
      <c r="M163" s="17"/>
      <c r="N163" s="15"/>
      <c r="O163" s="15"/>
    </row>
    <row r="164" spans="1:15" x14ac:dyDescent="0.2">
      <c r="A164" s="14"/>
      <c r="B164" s="15"/>
      <c r="C164" s="15"/>
      <c r="D164" s="16"/>
      <c r="E164" s="17"/>
      <c r="F164" s="15"/>
      <c r="G164" s="17"/>
      <c r="H164" s="17"/>
      <c r="I164" s="17"/>
      <c r="J164" s="17"/>
      <c r="K164" s="17"/>
      <c r="L164" s="17"/>
      <c r="M164" s="17"/>
      <c r="N164" s="15"/>
      <c r="O164" s="15"/>
    </row>
    <row r="165" spans="1:15" x14ac:dyDescent="0.2">
      <c r="A165" s="14"/>
      <c r="B165" s="15"/>
      <c r="C165" s="15"/>
      <c r="D165" s="16"/>
      <c r="E165" s="17"/>
      <c r="F165" s="15"/>
      <c r="G165" s="17"/>
      <c r="H165" s="17"/>
      <c r="I165" s="17"/>
      <c r="J165" s="17"/>
      <c r="K165" s="17"/>
      <c r="L165" s="17"/>
      <c r="M165" s="17"/>
      <c r="N165" s="15"/>
      <c r="O165" s="15"/>
    </row>
    <row r="166" spans="1:15" x14ac:dyDescent="0.2">
      <c r="A166" s="14"/>
      <c r="B166" s="15"/>
      <c r="C166" s="15"/>
      <c r="D166" s="16"/>
      <c r="E166" s="17"/>
      <c r="F166" s="15"/>
      <c r="G166" s="17"/>
      <c r="H166" s="17"/>
      <c r="I166" s="17"/>
      <c r="J166" s="17"/>
      <c r="K166" s="17"/>
      <c r="L166" s="17"/>
      <c r="M166" s="17"/>
      <c r="N166" s="15"/>
      <c r="O166" s="15"/>
    </row>
    <row r="167" spans="1:15" x14ac:dyDescent="0.2">
      <c r="A167" s="14"/>
      <c r="B167" s="15"/>
      <c r="C167" s="15"/>
      <c r="D167" s="16"/>
      <c r="E167" s="17"/>
      <c r="F167" s="15"/>
      <c r="G167" s="17"/>
      <c r="H167" s="17"/>
      <c r="I167" s="17"/>
      <c r="J167" s="17"/>
      <c r="K167" s="17"/>
      <c r="L167" s="17"/>
      <c r="M167" s="17"/>
      <c r="N167" s="15"/>
      <c r="O167" s="15"/>
    </row>
    <row r="168" spans="1:15" x14ac:dyDescent="0.2">
      <c r="A168" s="14"/>
      <c r="B168" s="15"/>
      <c r="C168" s="15"/>
      <c r="D168" s="16"/>
      <c r="E168" s="17"/>
      <c r="F168" s="15"/>
      <c r="G168" s="17"/>
      <c r="H168" s="17"/>
      <c r="I168" s="17"/>
      <c r="J168" s="17"/>
      <c r="K168" s="17"/>
      <c r="L168" s="17"/>
      <c r="M168" s="17"/>
      <c r="N168" s="15"/>
      <c r="O168" s="15"/>
    </row>
    <row r="169" spans="1:15" x14ac:dyDescent="0.2">
      <c r="A169" s="14"/>
      <c r="B169" s="15"/>
      <c r="C169" s="15"/>
      <c r="D169" s="16"/>
      <c r="E169" s="17"/>
      <c r="F169" s="15"/>
      <c r="G169" s="17"/>
      <c r="H169" s="17"/>
      <c r="I169" s="17"/>
      <c r="J169" s="17"/>
      <c r="K169" s="17"/>
      <c r="L169" s="17"/>
      <c r="M169" s="17"/>
      <c r="N169" s="15"/>
      <c r="O169" s="15"/>
    </row>
    <row r="170" spans="1:15" x14ac:dyDescent="0.2">
      <c r="A170" s="14"/>
      <c r="B170" s="15"/>
      <c r="C170" s="15"/>
      <c r="D170" s="16"/>
      <c r="E170" s="17"/>
      <c r="F170" s="15"/>
      <c r="G170" s="17"/>
      <c r="H170" s="17"/>
      <c r="I170" s="17"/>
      <c r="J170" s="17"/>
      <c r="K170" s="17"/>
      <c r="L170" s="17"/>
      <c r="M170" s="17"/>
      <c r="N170" s="15"/>
      <c r="O170" s="15"/>
    </row>
    <row r="171" spans="1:15" x14ac:dyDescent="0.2">
      <c r="A171" s="14"/>
      <c r="B171" s="15"/>
      <c r="C171" s="15"/>
      <c r="D171" s="16"/>
      <c r="E171" s="17"/>
      <c r="F171" s="15"/>
      <c r="G171" s="17"/>
      <c r="H171" s="17"/>
      <c r="I171" s="17"/>
      <c r="J171" s="17"/>
      <c r="K171" s="17"/>
      <c r="L171" s="17"/>
      <c r="M171" s="17"/>
      <c r="N171" s="15"/>
      <c r="O171" s="15"/>
    </row>
    <row r="172" spans="1:15" x14ac:dyDescent="0.2">
      <c r="A172" s="14"/>
      <c r="B172" s="15"/>
      <c r="C172" s="15"/>
      <c r="D172" s="16"/>
      <c r="E172" s="17"/>
      <c r="F172" s="15"/>
      <c r="G172" s="17"/>
      <c r="H172" s="17"/>
      <c r="I172" s="17"/>
      <c r="J172" s="17"/>
      <c r="K172" s="17"/>
      <c r="L172" s="17"/>
      <c r="M172" s="17"/>
      <c r="N172" s="15"/>
      <c r="O172" s="15"/>
    </row>
    <row r="173" spans="1:15" x14ac:dyDescent="0.2">
      <c r="A173" s="14"/>
      <c r="B173" s="15"/>
      <c r="C173" s="15"/>
      <c r="D173" s="16"/>
      <c r="E173" s="17"/>
      <c r="F173" s="15"/>
      <c r="G173" s="17"/>
      <c r="H173" s="17"/>
      <c r="I173" s="17"/>
      <c r="J173" s="17"/>
      <c r="K173" s="17"/>
      <c r="L173" s="17"/>
      <c r="M173" s="17"/>
      <c r="N173" s="15"/>
      <c r="O173" s="15"/>
    </row>
    <row r="174" spans="1:15" x14ac:dyDescent="0.2">
      <c r="A174" s="14"/>
      <c r="B174" s="15"/>
      <c r="C174" s="15"/>
      <c r="D174" s="16"/>
      <c r="E174" s="17"/>
      <c r="F174" s="15"/>
      <c r="G174" s="17"/>
      <c r="H174" s="17"/>
      <c r="I174" s="17"/>
      <c r="J174" s="17"/>
      <c r="K174" s="17"/>
      <c r="L174" s="17"/>
      <c r="M174" s="17"/>
      <c r="N174" s="15"/>
      <c r="O174" s="15"/>
    </row>
    <row r="175" spans="1:15" x14ac:dyDescent="0.2">
      <c r="A175" s="14"/>
      <c r="B175" s="15"/>
      <c r="C175" s="15"/>
      <c r="D175" s="16"/>
      <c r="E175" s="17"/>
      <c r="F175" s="15"/>
      <c r="G175" s="17"/>
      <c r="H175" s="17"/>
      <c r="I175" s="17"/>
      <c r="J175" s="17"/>
      <c r="K175" s="17"/>
      <c r="L175" s="17"/>
      <c r="M175" s="17"/>
      <c r="N175" s="15"/>
      <c r="O175" s="15"/>
    </row>
    <row r="176" spans="1:15" x14ac:dyDescent="0.2">
      <c r="A176" s="14"/>
      <c r="B176" s="15"/>
      <c r="C176" s="15"/>
      <c r="D176" s="16"/>
      <c r="E176" s="17"/>
      <c r="F176" s="15"/>
      <c r="G176" s="17"/>
      <c r="H176" s="17"/>
      <c r="I176" s="17"/>
      <c r="J176" s="17"/>
      <c r="K176" s="17"/>
      <c r="L176" s="17"/>
      <c r="M176" s="17"/>
      <c r="N176" s="15"/>
      <c r="O176" s="15"/>
    </row>
    <row r="177" spans="1:15" x14ac:dyDescent="0.2">
      <c r="A177" s="14"/>
      <c r="B177" s="15"/>
      <c r="C177" s="15"/>
      <c r="D177" s="16"/>
      <c r="E177" s="17"/>
      <c r="F177" s="15"/>
      <c r="G177" s="17"/>
      <c r="H177" s="17"/>
      <c r="I177" s="17"/>
      <c r="J177" s="17"/>
      <c r="K177" s="17"/>
      <c r="L177" s="17"/>
      <c r="M177" s="17"/>
      <c r="N177" s="15"/>
      <c r="O177" s="15"/>
    </row>
    <row r="178" spans="1:15" x14ac:dyDescent="0.2">
      <c r="A178" s="14"/>
      <c r="B178" s="15"/>
      <c r="C178" s="15"/>
      <c r="D178" s="16"/>
      <c r="E178" s="17"/>
      <c r="F178" s="15"/>
      <c r="G178" s="17"/>
      <c r="H178" s="17"/>
      <c r="I178" s="17"/>
      <c r="J178" s="17"/>
      <c r="K178" s="17"/>
      <c r="L178" s="17"/>
      <c r="M178" s="17"/>
      <c r="N178" s="15"/>
      <c r="O178" s="15"/>
    </row>
    <row r="179" spans="1:15" x14ac:dyDescent="0.2">
      <c r="A179" s="14"/>
      <c r="B179" s="15"/>
      <c r="C179" s="15"/>
      <c r="D179" s="16"/>
      <c r="E179" s="17"/>
      <c r="F179" s="15"/>
      <c r="G179" s="17"/>
      <c r="H179" s="17"/>
      <c r="I179" s="17"/>
      <c r="J179" s="17"/>
      <c r="K179" s="17"/>
      <c r="L179" s="17"/>
      <c r="M179" s="17"/>
      <c r="N179" s="15"/>
      <c r="O179" s="15"/>
    </row>
    <row r="180" spans="1:15" x14ac:dyDescent="0.2">
      <c r="A180" s="14"/>
      <c r="B180" s="15"/>
      <c r="C180" s="15"/>
      <c r="D180" s="16"/>
      <c r="E180" s="17"/>
      <c r="F180" s="15"/>
      <c r="G180" s="17"/>
      <c r="H180" s="17"/>
      <c r="I180" s="17"/>
      <c r="J180" s="17"/>
      <c r="K180" s="17"/>
      <c r="L180" s="17"/>
      <c r="M180" s="17"/>
      <c r="N180" s="15"/>
      <c r="O180" s="15"/>
    </row>
    <row r="181" spans="1:15" x14ac:dyDescent="0.2">
      <c r="A181" s="14"/>
      <c r="B181" s="15"/>
      <c r="C181" s="15"/>
      <c r="D181" s="16"/>
      <c r="E181" s="17"/>
      <c r="F181" s="15"/>
      <c r="G181" s="17"/>
      <c r="H181" s="17"/>
      <c r="I181" s="17"/>
      <c r="J181" s="17"/>
      <c r="K181" s="17"/>
      <c r="L181" s="17"/>
      <c r="M181" s="17"/>
      <c r="N181" s="15"/>
      <c r="O181" s="15"/>
    </row>
    <row r="182" spans="1:15" x14ac:dyDescent="0.2">
      <c r="A182" s="14"/>
      <c r="B182" s="15"/>
      <c r="C182" s="15"/>
      <c r="D182" s="16"/>
      <c r="E182" s="17"/>
      <c r="F182" s="15"/>
      <c r="G182" s="17"/>
      <c r="H182" s="17"/>
      <c r="I182" s="17"/>
      <c r="J182" s="17"/>
      <c r="K182" s="17"/>
      <c r="L182" s="17"/>
      <c r="M182" s="17"/>
      <c r="N182" s="15"/>
      <c r="O182" s="15"/>
    </row>
    <row r="183" spans="1:15" x14ac:dyDescent="0.2">
      <c r="A183" s="14"/>
      <c r="B183" s="15"/>
      <c r="C183" s="15"/>
      <c r="D183" s="16"/>
      <c r="E183" s="17"/>
      <c r="F183" s="15"/>
      <c r="G183" s="17"/>
      <c r="H183" s="17"/>
      <c r="I183" s="17"/>
      <c r="J183" s="17"/>
      <c r="K183" s="17"/>
      <c r="L183" s="17"/>
      <c r="M183" s="17"/>
      <c r="N183" s="15"/>
      <c r="O183" s="15"/>
    </row>
    <row r="184" spans="1:15" x14ac:dyDescent="0.2">
      <c r="A184" s="14"/>
      <c r="B184" s="15"/>
      <c r="C184" s="15"/>
      <c r="D184" s="16"/>
      <c r="E184" s="17"/>
      <c r="F184" s="15"/>
      <c r="G184" s="17"/>
      <c r="H184" s="17"/>
      <c r="I184" s="17"/>
      <c r="J184" s="17"/>
      <c r="K184" s="17"/>
      <c r="L184" s="17"/>
      <c r="M184" s="17"/>
      <c r="N184" s="15"/>
      <c r="O184" s="15"/>
    </row>
    <row r="185" spans="1:15" x14ac:dyDescent="0.2">
      <c r="A185" s="14"/>
      <c r="B185" s="15"/>
      <c r="C185" s="15"/>
      <c r="D185" s="16"/>
      <c r="E185" s="17"/>
      <c r="F185" s="15"/>
      <c r="G185" s="17"/>
      <c r="H185" s="17"/>
      <c r="I185" s="17"/>
      <c r="J185" s="17"/>
      <c r="K185" s="17"/>
      <c r="L185" s="17"/>
      <c r="M185" s="17"/>
      <c r="N185" s="15"/>
      <c r="O185" s="15"/>
    </row>
    <row r="186" spans="1:15" x14ac:dyDescent="0.2">
      <c r="A186" s="14"/>
      <c r="B186" s="15"/>
      <c r="C186" s="15"/>
      <c r="D186" s="16"/>
      <c r="E186" s="17"/>
      <c r="F186" s="15"/>
      <c r="G186" s="17"/>
      <c r="H186" s="17"/>
      <c r="I186" s="17"/>
      <c r="J186" s="17"/>
      <c r="K186" s="17"/>
      <c r="L186" s="17"/>
      <c r="M186" s="17"/>
      <c r="N186" s="15"/>
      <c r="O186" s="15"/>
    </row>
    <row r="187" spans="1:15" x14ac:dyDescent="0.2">
      <c r="A187" s="14"/>
      <c r="B187" s="15"/>
      <c r="C187" s="15"/>
      <c r="D187" s="16"/>
      <c r="E187" s="17"/>
      <c r="F187" s="15"/>
      <c r="G187" s="17"/>
      <c r="H187" s="17"/>
      <c r="I187" s="17"/>
      <c r="J187" s="17"/>
      <c r="K187" s="17"/>
      <c r="L187" s="17"/>
      <c r="M187" s="17"/>
      <c r="N187" s="15"/>
      <c r="O187" s="15"/>
    </row>
    <row r="188" spans="1:15" x14ac:dyDescent="0.2">
      <c r="A188" s="14"/>
      <c r="B188" s="15"/>
      <c r="C188" s="15"/>
      <c r="D188" s="16"/>
      <c r="E188" s="17"/>
      <c r="F188" s="15"/>
      <c r="G188" s="17"/>
      <c r="H188" s="17"/>
      <c r="I188" s="17"/>
      <c r="J188" s="17"/>
      <c r="K188" s="17"/>
      <c r="L188" s="17"/>
      <c r="M188" s="17"/>
      <c r="N188" s="15"/>
      <c r="O188" s="15"/>
    </row>
    <row r="189" spans="1:15" x14ac:dyDescent="0.2">
      <c r="A189" s="14"/>
      <c r="B189" s="15"/>
      <c r="C189" s="15"/>
      <c r="D189" s="16"/>
      <c r="E189" s="17"/>
      <c r="F189" s="15"/>
      <c r="G189" s="17"/>
      <c r="H189" s="17"/>
      <c r="I189" s="17"/>
      <c r="J189" s="17"/>
      <c r="K189" s="17"/>
      <c r="L189" s="17"/>
      <c r="M189" s="17"/>
      <c r="N189" s="15"/>
      <c r="O189" s="15"/>
    </row>
    <row r="190" spans="1:15" x14ac:dyDescent="0.2">
      <c r="A190" s="14"/>
      <c r="B190" s="15"/>
      <c r="C190" s="15"/>
      <c r="D190" s="16"/>
      <c r="E190" s="17"/>
      <c r="F190" s="15"/>
      <c r="G190" s="17"/>
      <c r="H190" s="17"/>
      <c r="I190" s="17"/>
      <c r="J190" s="17"/>
      <c r="K190" s="17"/>
      <c r="L190" s="17"/>
      <c r="M190" s="17"/>
      <c r="N190" s="15"/>
      <c r="O190" s="15"/>
    </row>
    <row r="191" spans="1:15" x14ac:dyDescent="0.2">
      <c r="A191" s="14"/>
      <c r="B191" s="15"/>
      <c r="C191" s="15"/>
      <c r="D191" s="16"/>
      <c r="E191" s="17"/>
      <c r="F191" s="15"/>
      <c r="G191" s="17"/>
      <c r="H191" s="17"/>
      <c r="I191" s="17"/>
      <c r="J191" s="17"/>
      <c r="K191" s="17"/>
      <c r="L191" s="17"/>
      <c r="M191" s="17"/>
      <c r="N191" s="15"/>
      <c r="O191" s="15"/>
    </row>
    <row r="192" spans="1:15" x14ac:dyDescent="0.2">
      <c r="A192" s="14"/>
      <c r="B192" s="15"/>
      <c r="C192" s="15"/>
      <c r="D192" s="16"/>
      <c r="E192" s="17"/>
      <c r="F192" s="15"/>
      <c r="G192" s="17"/>
      <c r="H192" s="17"/>
      <c r="I192" s="17"/>
      <c r="J192" s="17"/>
      <c r="K192" s="17"/>
      <c r="L192" s="17"/>
      <c r="M192" s="17"/>
      <c r="N192" s="15"/>
      <c r="O192" s="15"/>
    </row>
    <row r="193" spans="1:15" x14ac:dyDescent="0.2">
      <c r="A193" s="14"/>
      <c r="B193" s="15"/>
      <c r="C193" s="15"/>
      <c r="D193" s="16"/>
      <c r="E193" s="17"/>
      <c r="F193" s="15"/>
      <c r="G193" s="17"/>
      <c r="H193" s="17"/>
      <c r="I193" s="17"/>
      <c r="J193" s="17"/>
      <c r="K193" s="17"/>
      <c r="L193" s="17"/>
      <c r="M193" s="17"/>
      <c r="N193" s="15"/>
      <c r="O193" s="15"/>
    </row>
    <row r="194" spans="1:15" x14ac:dyDescent="0.2">
      <c r="A194" s="14"/>
      <c r="B194" s="15"/>
      <c r="C194" s="15"/>
      <c r="D194" s="16"/>
      <c r="E194" s="17"/>
      <c r="F194" s="15"/>
      <c r="G194" s="17"/>
      <c r="H194" s="17"/>
      <c r="I194" s="17"/>
      <c r="J194" s="17"/>
      <c r="K194" s="17"/>
      <c r="L194" s="17"/>
      <c r="M194" s="17"/>
      <c r="N194" s="15"/>
      <c r="O194" s="15"/>
    </row>
    <row r="195" spans="1:15" x14ac:dyDescent="0.2">
      <c r="A195" s="14"/>
      <c r="B195" s="15"/>
      <c r="C195" s="15"/>
      <c r="D195" s="16"/>
      <c r="E195" s="17"/>
      <c r="F195" s="15"/>
      <c r="G195" s="17"/>
      <c r="H195" s="17"/>
      <c r="I195" s="17"/>
      <c r="J195" s="17"/>
      <c r="K195" s="17"/>
      <c r="L195" s="17"/>
      <c r="M195" s="17"/>
      <c r="N195" s="15"/>
      <c r="O195" s="15"/>
    </row>
    <row r="196" spans="1:15" x14ac:dyDescent="0.2">
      <c r="A196" s="14"/>
      <c r="B196" s="15"/>
      <c r="C196" s="15"/>
      <c r="D196" s="16"/>
      <c r="E196" s="17"/>
      <c r="F196" s="15"/>
      <c r="G196" s="17"/>
      <c r="H196" s="17"/>
      <c r="I196" s="17"/>
      <c r="J196" s="17"/>
      <c r="K196" s="17"/>
      <c r="L196" s="17"/>
      <c r="M196" s="17"/>
      <c r="N196" s="15"/>
      <c r="O196" s="15"/>
    </row>
    <row r="197" spans="1:15" x14ac:dyDescent="0.2">
      <c r="A197" s="14"/>
      <c r="B197" s="15"/>
      <c r="C197" s="15"/>
      <c r="D197" s="16"/>
      <c r="E197" s="17"/>
      <c r="F197" s="15"/>
      <c r="G197" s="17"/>
      <c r="H197" s="17"/>
      <c r="I197" s="17"/>
      <c r="J197" s="17"/>
      <c r="K197" s="17"/>
      <c r="L197" s="17"/>
      <c r="M197" s="17"/>
      <c r="N197" s="15"/>
      <c r="O197" s="15"/>
    </row>
    <row r="198" spans="1:15" x14ac:dyDescent="0.2">
      <c r="A198" s="14"/>
      <c r="B198" s="15"/>
      <c r="C198" s="15"/>
      <c r="D198" s="16"/>
      <c r="E198" s="17"/>
      <c r="F198" s="15"/>
      <c r="G198" s="17"/>
      <c r="H198" s="17"/>
      <c r="I198" s="17"/>
      <c r="J198" s="17"/>
      <c r="K198" s="17"/>
      <c r="L198" s="17"/>
      <c r="M198" s="17"/>
      <c r="N198" s="15"/>
      <c r="O198" s="15"/>
    </row>
    <row r="199" spans="1:15" x14ac:dyDescent="0.2">
      <c r="A199" s="14"/>
      <c r="B199" s="15"/>
      <c r="C199" s="15"/>
      <c r="D199" s="16"/>
      <c r="E199" s="17"/>
      <c r="F199" s="15"/>
      <c r="G199" s="17"/>
      <c r="H199" s="17"/>
      <c r="I199" s="17"/>
      <c r="J199" s="17"/>
      <c r="K199" s="17"/>
      <c r="L199" s="17"/>
      <c r="M199" s="17"/>
      <c r="N199" s="15"/>
      <c r="O199" s="15"/>
    </row>
    <row r="200" spans="1:15" x14ac:dyDescent="0.2">
      <c r="A200" s="14"/>
      <c r="B200" s="15"/>
      <c r="C200" s="15"/>
      <c r="D200" s="16"/>
      <c r="E200" s="17"/>
      <c r="F200" s="15"/>
      <c r="G200" s="17"/>
      <c r="H200" s="17"/>
      <c r="I200" s="17"/>
      <c r="J200" s="17"/>
      <c r="K200" s="17"/>
      <c r="L200" s="17"/>
      <c r="M200" s="17"/>
      <c r="N200" s="15"/>
      <c r="O200" s="15"/>
    </row>
    <row r="201" spans="1:15" x14ac:dyDescent="0.2">
      <c r="A201" s="14"/>
      <c r="B201" s="15"/>
      <c r="C201" s="15"/>
      <c r="D201" s="16"/>
      <c r="E201" s="17"/>
      <c r="F201" s="15"/>
      <c r="G201" s="17"/>
      <c r="H201" s="17"/>
      <c r="I201" s="17"/>
      <c r="J201" s="17"/>
      <c r="K201" s="17"/>
      <c r="L201" s="17"/>
      <c r="M201" s="17"/>
      <c r="N201" s="15"/>
      <c r="O201" s="15"/>
    </row>
    <row r="202" spans="1:15" x14ac:dyDescent="0.2">
      <c r="A202" s="14"/>
      <c r="B202" s="15"/>
      <c r="C202" s="15"/>
      <c r="D202" s="16"/>
      <c r="E202" s="17"/>
      <c r="F202" s="15"/>
      <c r="G202" s="17"/>
      <c r="H202" s="17"/>
      <c r="I202" s="17"/>
      <c r="J202" s="17"/>
      <c r="K202" s="17"/>
      <c r="L202" s="17"/>
      <c r="M202" s="17"/>
      <c r="N202" s="15"/>
      <c r="O202" s="15"/>
    </row>
    <row r="203" spans="1:15" x14ac:dyDescent="0.2">
      <c r="A203" s="14"/>
      <c r="B203" s="15"/>
      <c r="C203" s="15"/>
      <c r="D203" s="16"/>
      <c r="E203" s="17"/>
      <c r="F203" s="15"/>
      <c r="G203" s="17"/>
      <c r="H203" s="17"/>
      <c r="I203" s="17"/>
      <c r="J203" s="17"/>
      <c r="K203" s="17"/>
      <c r="L203" s="17"/>
      <c r="M203" s="17"/>
      <c r="N203" s="15"/>
      <c r="O203" s="15"/>
    </row>
    <row r="204" spans="1:15" x14ac:dyDescent="0.2">
      <c r="A204" s="14"/>
      <c r="B204" s="15"/>
      <c r="C204" s="15"/>
      <c r="D204" s="16"/>
      <c r="E204" s="17"/>
      <c r="F204" s="15"/>
      <c r="G204" s="17"/>
      <c r="H204" s="17"/>
      <c r="I204" s="17"/>
      <c r="J204" s="17"/>
      <c r="K204" s="17"/>
      <c r="L204" s="17"/>
      <c r="M204" s="17"/>
      <c r="N204" s="15"/>
      <c r="O204" s="15"/>
    </row>
    <row r="205" spans="1:15" x14ac:dyDescent="0.2">
      <c r="A205" s="14"/>
      <c r="B205" s="15"/>
      <c r="C205" s="15"/>
      <c r="D205" s="16"/>
      <c r="E205" s="17"/>
      <c r="F205" s="15"/>
      <c r="G205" s="17"/>
      <c r="H205" s="17"/>
      <c r="I205" s="17"/>
      <c r="J205" s="17"/>
      <c r="K205" s="17"/>
      <c r="L205" s="17"/>
      <c r="M205" s="17"/>
      <c r="N205" s="15"/>
      <c r="O205" s="15"/>
    </row>
    <row r="206" spans="1:15" x14ac:dyDescent="0.2">
      <c r="A206" s="14"/>
      <c r="B206" s="15"/>
      <c r="C206" s="15"/>
      <c r="D206" s="16"/>
      <c r="E206" s="17"/>
      <c r="F206" s="15"/>
      <c r="G206" s="17"/>
      <c r="H206" s="17"/>
      <c r="I206" s="17"/>
      <c r="J206" s="17"/>
      <c r="K206" s="17"/>
      <c r="L206" s="17"/>
      <c r="M206" s="17"/>
      <c r="N206" s="15"/>
      <c r="O206" s="15"/>
    </row>
    <row r="207" spans="1:15" x14ac:dyDescent="0.2">
      <c r="A207" s="14"/>
      <c r="B207" s="15"/>
      <c r="C207" s="15"/>
      <c r="D207" s="16"/>
      <c r="E207" s="17"/>
      <c r="F207" s="15"/>
      <c r="G207" s="17"/>
      <c r="H207" s="17"/>
      <c r="I207" s="17"/>
      <c r="J207" s="17"/>
      <c r="K207" s="17"/>
      <c r="L207" s="17"/>
      <c r="M207" s="17"/>
      <c r="N207" s="15"/>
      <c r="O207" s="15"/>
    </row>
    <row r="208" spans="1:15" x14ac:dyDescent="0.2">
      <c r="A208" s="14"/>
      <c r="B208" s="15"/>
      <c r="C208" s="15"/>
      <c r="D208" s="16"/>
      <c r="E208" s="17"/>
      <c r="F208" s="15"/>
      <c r="G208" s="17"/>
      <c r="H208" s="17"/>
      <c r="I208" s="17"/>
      <c r="J208" s="17"/>
      <c r="K208" s="17"/>
      <c r="L208" s="17"/>
      <c r="M208" s="17"/>
      <c r="N208" s="15"/>
      <c r="O208" s="15"/>
    </row>
    <row r="209" spans="1:15" x14ac:dyDescent="0.2">
      <c r="A209" s="14"/>
      <c r="B209" s="15"/>
      <c r="C209" s="15"/>
      <c r="D209" s="16"/>
      <c r="E209" s="17"/>
      <c r="F209" s="15"/>
      <c r="G209" s="17"/>
      <c r="H209" s="17"/>
      <c r="I209" s="17"/>
      <c r="J209" s="17"/>
      <c r="K209" s="17"/>
      <c r="L209" s="17"/>
      <c r="M209" s="17"/>
      <c r="N209" s="15"/>
      <c r="O209" s="15"/>
    </row>
    <row r="210" spans="1:15" x14ac:dyDescent="0.2">
      <c r="A210" s="14"/>
      <c r="B210" s="15"/>
      <c r="C210" s="15"/>
      <c r="D210" s="16"/>
      <c r="E210" s="17"/>
      <c r="F210" s="15"/>
      <c r="G210" s="17"/>
      <c r="H210" s="17"/>
      <c r="I210" s="17"/>
      <c r="J210" s="17"/>
      <c r="K210" s="17"/>
      <c r="L210" s="17"/>
      <c r="M210" s="17"/>
      <c r="N210" s="15"/>
      <c r="O210" s="15"/>
    </row>
    <row r="211" spans="1:15" x14ac:dyDescent="0.2">
      <c r="A211" s="14"/>
      <c r="B211" s="15"/>
      <c r="C211" s="15"/>
      <c r="D211" s="16"/>
      <c r="E211" s="17"/>
      <c r="F211" s="15"/>
      <c r="G211" s="17"/>
      <c r="H211" s="17"/>
      <c r="I211" s="17"/>
      <c r="J211" s="17"/>
      <c r="K211" s="17"/>
      <c r="L211" s="17"/>
      <c r="M211" s="17"/>
      <c r="N211" s="15"/>
      <c r="O211" s="15"/>
    </row>
    <row r="212" spans="1:15" x14ac:dyDescent="0.2">
      <c r="A212" s="14"/>
      <c r="B212" s="15"/>
      <c r="C212" s="15"/>
      <c r="D212" s="16"/>
      <c r="E212" s="17"/>
      <c r="F212" s="15"/>
      <c r="G212" s="17"/>
      <c r="H212" s="17"/>
      <c r="I212" s="17"/>
      <c r="J212" s="17"/>
      <c r="K212" s="17"/>
      <c r="L212" s="17"/>
      <c r="M212" s="17"/>
      <c r="N212" s="15"/>
      <c r="O212" s="15"/>
    </row>
    <row r="213" spans="1:15" x14ac:dyDescent="0.2">
      <c r="A213" s="14"/>
      <c r="B213" s="15"/>
      <c r="C213" s="15"/>
      <c r="D213" s="16"/>
      <c r="E213" s="17"/>
      <c r="F213" s="15"/>
      <c r="G213" s="17"/>
      <c r="H213" s="17"/>
      <c r="I213" s="17"/>
      <c r="J213" s="17"/>
      <c r="K213" s="17"/>
      <c r="L213" s="17"/>
      <c r="M213" s="17"/>
      <c r="N213" s="15"/>
      <c r="O213" s="15"/>
    </row>
    <row r="214" spans="1:15" x14ac:dyDescent="0.2">
      <c r="A214" s="14"/>
      <c r="B214" s="15"/>
      <c r="C214" s="15"/>
      <c r="D214" s="16"/>
      <c r="E214" s="17"/>
      <c r="F214" s="15"/>
      <c r="G214" s="17"/>
      <c r="H214" s="17"/>
      <c r="I214" s="17"/>
      <c r="J214" s="17"/>
      <c r="K214" s="17"/>
      <c r="L214" s="17"/>
      <c r="M214" s="17"/>
      <c r="N214" s="15"/>
      <c r="O214" s="15"/>
    </row>
    <row r="215" spans="1:15" x14ac:dyDescent="0.2">
      <c r="A215" s="14"/>
      <c r="B215" s="15"/>
      <c r="C215" s="15"/>
      <c r="D215" s="16"/>
      <c r="E215" s="17"/>
      <c r="F215" s="15"/>
      <c r="G215" s="17"/>
      <c r="H215" s="17"/>
      <c r="I215" s="17"/>
      <c r="J215" s="17"/>
      <c r="K215" s="17"/>
      <c r="L215" s="17"/>
      <c r="M215" s="17"/>
      <c r="N215" s="15"/>
      <c r="O215" s="15"/>
    </row>
    <row r="216" spans="1:15" x14ac:dyDescent="0.2">
      <c r="A216" s="14"/>
      <c r="B216" s="15"/>
      <c r="C216" s="15"/>
      <c r="D216" s="16"/>
      <c r="E216" s="17"/>
      <c r="F216" s="15"/>
      <c r="G216" s="17"/>
      <c r="H216" s="17"/>
      <c r="I216" s="17"/>
      <c r="J216" s="17"/>
      <c r="K216" s="17"/>
      <c r="L216" s="17"/>
      <c r="M216" s="17"/>
      <c r="N216" s="15"/>
      <c r="O216" s="15"/>
    </row>
    <row r="217" spans="1:15" x14ac:dyDescent="0.2">
      <c r="A217" s="14"/>
      <c r="B217" s="15"/>
      <c r="C217" s="15"/>
      <c r="D217" s="16"/>
      <c r="E217" s="17"/>
      <c r="F217" s="15"/>
      <c r="G217" s="17"/>
      <c r="H217" s="17"/>
      <c r="I217" s="17"/>
      <c r="J217" s="17"/>
      <c r="K217" s="17"/>
      <c r="L217" s="17"/>
      <c r="M217" s="17"/>
      <c r="N217" s="15"/>
      <c r="O217" s="15"/>
    </row>
    <row r="218" spans="1:15" x14ac:dyDescent="0.2">
      <c r="A218" s="14"/>
      <c r="B218" s="15"/>
      <c r="C218" s="15"/>
      <c r="D218" s="16"/>
      <c r="E218" s="17"/>
      <c r="F218" s="15"/>
      <c r="G218" s="17"/>
      <c r="H218" s="17"/>
      <c r="I218" s="17"/>
      <c r="J218" s="17"/>
      <c r="K218" s="17"/>
      <c r="L218" s="17"/>
      <c r="M218" s="17"/>
      <c r="N218" s="15"/>
      <c r="O218" s="15"/>
    </row>
    <row r="219" spans="1:15" x14ac:dyDescent="0.2">
      <c r="A219" s="14"/>
      <c r="B219" s="15"/>
      <c r="C219" s="15"/>
      <c r="D219" s="16"/>
      <c r="E219" s="17"/>
      <c r="F219" s="15"/>
      <c r="G219" s="17"/>
      <c r="H219" s="17"/>
      <c r="I219" s="17"/>
      <c r="J219" s="17"/>
      <c r="K219" s="17"/>
      <c r="L219" s="17"/>
      <c r="M219" s="17"/>
      <c r="N219" s="15"/>
      <c r="O219" s="15"/>
    </row>
    <row r="220" spans="1:15" x14ac:dyDescent="0.2">
      <c r="A220" s="14"/>
      <c r="B220" s="15"/>
      <c r="C220" s="15"/>
      <c r="D220" s="16"/>
      <c r="E220" s="17"/>
      <c r="F220" s="15"/>
      <c r="G220" s="17"/>
      <c r="H220" s="17"/>
      <c r="I220" s="17"/>
      <c r="J220" s="17"/>
      <c r="K220" s="17"/>
      <c r="L220" s="17"/>
      <c r="M220" s="17"/>
      <c r="N220" s="15"/>
      <c r="O220" s="15"/>
    </row>
    <row r="221" spans="1:15" x14ac:dyDescent="0.2">
      <c r="A221" s="14"/>
      <c r="B221" s="15"/>
      <c r="C221" s="15"/>
      <c r="D221" s="16"/>
      <c r="E221" s="17"/>
      <c r="F221" s="15"/>
      <c r="G221" s="17"/>
      <c r="H221" s="17"/>
      <c r="I221" s="17"/>
      <c r="J221" s="17"/>
      <c r="K221" s="17"/>
      <c r="L221" s="17"/>
      <c r="M221" s="17"/>
      <c r="N221" s="15"/>
      <c r="O221" s="15"/>
    </row>
    <row r="222" spans="1:15" x14ac:dyDescent="0.2">
      <c r="A222" s="14"/>
      <c r="B222" s="15"/>
      <c r="C222" s="15"/>
      <c r="D222" s="16"/>
      <c r="E222" s="17"/>
      <c r="F222" s="15"/>
      <c r="G222" s="17"/>
      <c r="H222" s="17"/>
      <c r="I222" s="17"/>
      <c r="J222" s="17"/>
      <c r="K222" s="17"/>
      <c r="L222" s="17"/>
      <c r="M222" s="17"/>
      <c r="N222" s="15"/>
      <c r="O222" s="15"/>
    </row>
    <row r="223" spans="1:15" x14ac:dyDescent="0.2">
      <c r="A223" s="14"/>
      <c r="B223" s="15"/>
      <c r="C223" s="15"/>
      <c r="D223" s="16"/>
      <c r="E223" s="17"/>
      <c r="F223" s="15"/>
      <c r="G223" s="17"/>
      <c r="H223" s="17"/>
      <c r="I223" s="17"/>
      <c r="J223" s="17"/>
      <c r="K223" s="17"/>
      <c r="L223" s="17"/>
      <c r="M223" s="17"/>
      <c r="N223" s="15"/>
      <c r="O223" s="15"/>
    </row>
    <row r="224" spans="1:15" x14ac:dyDescent="0.2">
      <c r="A224" s="14"/>
      <c r="B224" s="15"/>
      <c r="C224" s="15"/>
      <c r="D224" s="16"/>
      <c r="E224" s="17"/>
      <c r="F224" s="15"/>
      <c r="G224" s="17"/>
      <c r="H224" s="17"/>
      <c r="I224" s="17"/>
      <c r="J224" s="17"/>
      <c r="K224" s="17"/>
      <c r="L224" s="17"/>
      <c r="M224" s="17"/>
      <c r="N224" s="15"/>
      <c r="O224" s="15"/>
    </row>
    <row r="225" spans="1:15" x14ac:dyDescent="0.2">
      <c r="A225" s="14"/>
      <c r="B225" s="15"/>
      <c r="C225" s="15"/>
      <c r="D225" s="16"/>
      <c r="E225" s="17"/>
      <c r="F225" s="15"/>
      <c r="G225" s="17"/>
      <c r="H225" s="17"/>
      <c r="I225" s="17"/>
      <c r="J225" s="17"/>
      <c r="K225" s="17"/>
      <c r="L225" s="17"/>
      <c r="M225" s="17"/>
      <c r="N225" s="15"/>
      <c r="O225" s="15"/>
    </row>
    <row r="226" spans="1:15" x14ac:dyDescent="0.2">
      <c r="A226" s="14"/>
      <c r="B226" s="15"/>
      <c r="C226" s="15"/>
      <c r="D226" s="16"/>
      <c r="E226" s="17"/>
      <c r="F226" s="15"/>
      <c r="G226" s="17"/>
      <c r="H226" s="17"/>
      <c r="I226" s="17"/>
      <c r="J226" s="17"/>
      <c r="K226" s="17"/>
      <c r="L226" s="17"/>
      <c r="M226" s="17"/>
      <c r="N226" s="15"/>
      <c r="O226" s="15"/>
    </row>
    <row r="227" spans="1:15" x14ac:dyDescent="0.2">
      <c r="A227" s="14"/>
      <c r="B227" s="15"/>
      <c r="C227" s="15"/>
      <c r="D227" s="16"/>
      <c r="E227" s="17"/>
      <c r="F227" s="15"/>
      <c r="G227" s="17"/>
      <c r="H227" s="17"/>
      <c r="I227" s="17"/>
      <c r="J227" s="17"/>
      <c r="K227" s="17"/>
      <c r="L227" s="17"/>
      <c r="M227" s="17"/>
      <c r="N227" s="15"/>
      <c r="O227" s="15"/>
    </row>
    <row r="228" spans="1:15" x14ac:dyDescent="0.2">
      <c r="A228" s="14"/>
      <c r="B228" s="15"/>
      <c r="C228" s="15"/>
      <c r="D228" s="16"/>
      <c r="E228" s="17"/>
      <c r="F228" s="15"/>
      <c r="G228" s="17"/>
      <c r="H228" s="17"/>
      <c r="I228" s="17"/>
      <c r="J228" s="17"/>
      <c r="K228" s="17"/>
      <c r="L228" s="17"/>
      <c r="M228" s="17"/>
      <c r="N228" s="15"/>
      <c r="O228" s="15"/>
    </row>
    <row r="229" spans="1:15" x14ac:dyDescent="0.2">
      <c r="A229" s="14"/>
      <c r="B229" s="15"/>
      <c r="C229" s="15"/>
      <c r="D229" s="16"/>
      <c r="E229" s="17"/>
      <c r="F229" s="15"/>
      <c r="G229" s="17"/>
      <c r="H229" s="17"/>
      <c r="I229" s="17"/>
      <c r="J229" s="17"/>
      <c r="K229" s="17"/>
      <c r="L229" s="17"/>
      <c r="M229" s="17"/>
      <c r="N229" s="15"/>
      <c r="O229" s="15"/>
    </row>
    <row r="230" spans="1:15" x14ac:dyDescent="0.2">
      <c r="A230" s="14"/>
      <c r="B230" s="15"/>
      <c r="C230" s="15"/>
      <c r="D230" s="16"/>
      <c r="E230" s="17"/>
      <c r="F230" s="15"/>
      <c r="G230" s="17"/>
      <c r="H230" s="17"/>
      <c r="I230" s="17"/>
      <c r="J230" s="17"/>
      <c r="K230" s="17"/>
      <c r="L230" s="17"/>
      <c r="M230" s="17"/>
      <c r="N230" s="15"/>
      <c r="O230" s="15"/>
    </row>
    <row r="231" spans="1:15" x14ac:dyDescent="0.2">
      <c r="A231" s="14"/>
      <c r="B231" s="15"/>
      <c r="C231" s="15"/>
      <c r="D231" s="16"/>
      <c r="E231" s="17"/>
      <c r="F231" s="15"/>
      <c r="G231" s="17"/>
      <c r="H231" s="17"/>
      <c r="I231" s="17"/>
      <c r="J231" s="17"/>
      <c r="K231" s="17"/>
      <c r="L231" s="17"/>
      <c r="M231" s="17"/>
      <c r="N231" s="15"/>
      <c r="O231" s="15"/>
    </row>
    <row r="232" spans="1:15" x14ac:dyDescent="0.2">
      <c r="A232" s="14"/>
      <c r="B232" s="15"/>
      <c r="C232" s="15"/>
      <c r="D232" s="16"/>
      <c r="E232" s="17"/>
      <c r="F232" s="15"/>
      <c r="G232" s="17"/>
      <c r="H232" s="17"/>
      <c r="I232" s="17"/>
      <c r="J232" s="17"/>
      <c r="K232" s="17"/>
      <c r="L232" s="17"/>
      <c r="M232" s="17"/>
      <c r="N232" s="15"/>
      <c r="O232" s="15"/>
    </row>
    <row r="233" spans="1:15" x14ac:dyDescent="0.2">
      <c r="A233" s="14"/>
      <c r="B233" s="15"/>
      <c r="C233" s="15"/>
      <c r="D233" s="16"/>
      <c r="E233" s="17"/>
      <c r="F233" s="15"/>
      <c r="G233" s="17"/>
      <c r="H233" s="17"/>
      <c r="I233" s="17"/>
      <c r="J233" s="17"/>
      <c r="K233" s="17"/>
      <c r="L233" s="17"/>
      <c r="M233" s="17"/>
      <c r="N233" s="15"/>
      <c r="O233" s="15"/>
    </row>
    <row r="234" spans="1:15" x14ac:dyDescent="0.2">
      <c r="A234" s="14"/>
      <c r="B234" s="15"/>
      <c r="C234" s="15"/>
      <c r="D234" s="16"/>
      <c r="E234" s="17"/>
      <c r="F234" s="15"/>
      <c r="G234" s="17"/>
      <c r="H234" s="17"/>
      <c r="I234" s="17"/>
      <c r="J234" s="17"/>
      <c r="K234" s="17"/>
      <c r="L234" s="17"/>
      <c r="M234" s="17"/>
      <c r="N234" s="15"/>
      <c r="O234" s="15"/>
    </row>
    <row r="235" spans="1:15" x14ac:dyDescent="0.2">
      <c r="A235" s="14"/>
      <c r="B235" s="15"/>
      <c r="C235" s="15"/>
      <c r="D235" s="16"/>
      <c r="E235" s="17"/>
      <c r="F235" s="15"/>
      <c r="G235" s="17"/>
      <c r="H235" s="17"/>
      <c r="I235" s="17"/>
      <c r="J235" s="17"/>
      <c r="K235" s="17"/>
      <c r="L235" s="17"/>
      <c r="M235" s="17"/>
      <c r="N235" s="15"/>
      <c r="O235" s="15"/>
    </row>
    <row r="236" spans="1:15" x14ac:dyDescent="0.2">
      <c r="A236" s="14"/>
      <c r="B236" s="15"/>
      <c r="C236" s="15"/>
      <c r="D236" s="16"/>
      <c r="E236" s="17"/>
      <c r="F236" s="15"/>
      <c r="G236" s="17"/>
      <c r="H236" s="17"/>
      <c r="I236" s="17"/>
      <c r="J236" s="17"/>
      <c r="K236" s="17"/>
      <c r="L236" s="17"/>
      <c r="M236" s="17"/>
      <c r="N236" s="15"/>
      <c r="O236" s="15"/>
    </row>
    <row r="237" spans="1:15" x14ac:dyDescent="0.2">
      <c r="A237" s="14"/>
      <c r="B237" s="15"/>
      <c r="C237" s="15"/>
      <c r="D237" s="16"/>
      <c r="E237" s="17"/>
      <c r="F237" s="15"/>
      <c r="G237" s="17"/>
      <c r="H237" s="17"/>
      <c r="I237" s="17"/>
      <c r="J237" s="17"/>
      <c r="K237" s="17"/>
      <c r="L237" s="17"/>
      <c r="M237" s="17"/>
      <c r="N237" s="15"/>
      <c r="O237" s="15"/>
    </row>
    <row r="238" spans="1:15" x14ac:dyDescent="0.2">
      <c r="A238" s="14"/>
      <c r="B238" s="15"/>
      <c r="C238" s="15"/>
      <c r="D238" s="16"/>
      <c r="E238" s="17"/>
      <c r="F238" s="15"/>
      <c r="G238" s="17"/>
      <c r="H238" s="17"/>
      <c r="I238" s="17"/>
      <c r="J238" s="17"/>
      <c r="K238" s="17"/>
      <c r="L238" s="17"/>
      <c r="M238" s="17"/>
      <c r="N238" s="15"/>
      <c r="O238" s="15"/>
    </row>
    <row r="239" spans="1:15" x14ac:dyDescent="0.2">
      <c r="A239" s="14"/>
      <c r="B239" s="15"/>
      <c r="C239" s="15"/>
      <c r="D239" s="16"/>
      <c r="E239" s="17"/>
      <c r="F239" s="15"/>
      <c r="G239" s="17"/>
      <c r="H239" s="17"/>
      <c r="I239" s="17"/>
      <c r="J239" s="17"/>
      <c r="K239" s="17"/>
      <c r="L239" s="17"/>
      <c r="M239" s="17"/>
      <c r="N239" s="15"/>
      <c r="O239" s="15"/>
    </row>
    <row r="240" spans="1:15" x14ac:dyDescent="0.2">
      <c r="A240" s="14"/>
      <c r="B240" s="15"/>
      <c r="C240" s="15"/>
      <c r="D240" s="16"/>
      <c r="E240" s="17"/>
      <c r="F240" s="15"/>
      <c r="G240" s="17"/>
      <c r="H240" s="17"/>
      <c r="I240" s="17"/>
      <c r="J240" s="17"/>
      <c r="K240" s="17"/>
      <c r="L240" s="17"/>
      <c r="M240" s="17"/>
      <c r="N240" s="15"/>
      <c r="O240" s="15"/>
    </row>
    <row r="241" spans="1:15" x14ac:dyDescent="0.2">
      <c r="A241" s="14"/>
      <c r="B241" s="15"/>
      <c r="C241" s="15"/>
      <c r="D241" s="16"/>
      <c r="E241" s="17"/>
      <c r="F241" s="15"/>
      <c r="G241" s="17"/>
      <c r="H241" s="17"/>
      <c r="I241" s="17"/>
      <c r="J241" s="17"/>
      <c r="K241" s="17"/>
      <c r="L241" s="17"/>
      <c r="M241" s="17"/>
      <c r="N241" s="15"/>
      <c r="O241" s="15"/>
    </row>
    <row r="242" spans="1:15" x14ac:dyDescent="0.2">
      <c r="A242" s="14"/>
      <c r="B242" s="15"/>
      <c r="C242" s="15"/>
      <c r="D242" s="16"/>
      <c r="E242" s="17"/>
      <c r="F242" s="15"/>
      <c r="G242" s="17"/>
      <c r="H242" s="17"/>
      <c r="I242" s="17"/>
      <c r="J242" s="17"/>
      <c r="K242" s="17"/>
      <c r="L242" s="17"/>
      <c r="M242" s="17"/>
      <c r="N242" s="15"/>
      <c r="O242" s="15"/>
    </row>
    <row r="243" spans="1:15" x14ac:dyDescent="0.2">
      <c r="A243" s="14"/>
      <c r="B243" s="15"/>
      <c r="C243" s="15"/>
      <c r="D243" s="16"/>
      <c r="E243" s="17"/>
      <c r="F243" s="15"/>
      <c r="G243" s="17"/>
      <c r="H243" s="17"/>
      <c r="I243" s="17"/>
      <c r="J243" s="17"/>
      <c r="K243" s="17"/>
      <c r="L243" s="17"/>
      <c r="M243" s="17"/>
      <c r="N243" s="15"/>
      <c r="O243" s="15"/>
    </row>
    <row r="244" spans="1:15" x14ac:dyDescent="0.2">
      <c r="A244" s="14"/>
      <c r="B244" s="15"/>
      <c r="C244" s="15"/>
      <c r="D244" s="16"/>
      <c r="E244" s="17"/>
      <c r="F244" s="15"/>
      <c r="G244" s="17"/>
      <c r="H244" s="17"/>
      <c r="I244" s="17"/>
      <c r="J244" s="17"/>
      <c r="K244" s="17"/>
      <c r="L244" s="17"/>
      <c r="M244" s="17"/>
      <c r="N244" s="15"/>
      <c r="O244" s="15"/>
    </row>
    <row r="245" spans="1:15" x14ac:dyDescent="0.2">
      <c r="A245" s="14"/>
      <c r="B245" s="15"/>
      <c r="C245" s="15"/>
      <c r="D245" s="16"/>
      <c r="E245" s="17"/>
      <c r="F245" s="15"/>
      <c r="G245" s="17"/>
      <c r="H245" s="17"/>
      <c r="I245" s="17"/>
      <c r="J245" s="17"/>
      <c r="K245" s="17"/>
      <c r="L245" s="17"/>
      <c r="M245" s="17"/>
      <c r="N245" s="15"/>
      <c r="O245" s="15"/>
    </row>
    <row r="246" spans="1:15" x14ac:dyDescent="0.2">
      <c r="A246" s="14"/>
      <c r="B246" s="15"/>
      <c r="C246" s="15"/>
      <c r="D246" s="16"/>
      <c r="E246" s="17"/>
      <c r="F246" s="15"/>
      <c r="G246" s="17"/>
      <c r="H246" s="17"/>
      <c r="I246" s="17"/>
      <c r="J246" s="17"/>
      <c r="K246" s="17"/>
      <c r="L246" s="17"/>
      <c r="M246" s="17"/>
      <c r="N246" s="15"/>
      <c r="O246" s="15"/>
    </row>
    <row r="247" spans="1:15" x14ac:dyDescent="0.2">
      <c r="A247" s="14"/>
      <c r="B247" s="15"/>
      <c r="C247" s="15"/>
      <c r="D247" s="16"/>
      <c r="E247" s="17"/>
      <c r="F247" s="15"/>
      <c r="G247" s="17"/>
      <c r="H247" s="17"/>
      <c r="I247" s="17"/>
      <c r="J247" s="17"/>
      <c r="K247" s="17"/>
      <c r="L247" s="17"/>
      <c r="M247" s="17"/>
      <c r="N247" s="15"/>
      <c r="O247" s="15"/>
    </row>
    <row r="248" spans="1:15" x14ac:dyDescent="0.2">
      <c r="A248" s="14"/>
      <c r="B248" s="15"/>
      <c r="C248" s="15"/>
      <c r="D248" s="16"/>
      <c r="E248" s="17"/>
      <c r="F248" s="15"/>
      <c r="G248" s="17"/>
      <c r="H248" s="17"/>
      <c r="I248" s="17"/>
      <c r="J248" s="17"/>
      <c r="K248" s="17"/>
      <c r="L248" s="17"/>
      <c r="M248" s="17"/>
      <c r="N248" s="15"/>
      <c r="O248" s="15"/>
    </row>
    <row r="249" spans="1:15" x14ac:dyDescent="0.2">
      <c r="A249" s="14"/>
      <c r="B249" s="15"/>
      <c r="C249" s="15"/>
      <c r="D249" s="16"/>
      <c r="E249" s="17"/>
      <c r="F249" s="15"/>
      <c r="G249" s="17"/>
      <c r="H249" s="17"/>
      <c r="I249" s="17"/>
      <c r="J249" s="17"/>
      <c r="K249" s="17"/>
      <c r="L249" s="17"/>
      <c r="M249" s="17"/>
      <c r="N249" s="15"/>
      <c r="O249" s="15"/>
    </row>
    <row r="250" spans="1:15" x14ac:dyDescent="0.2">
      <c r="A250" s="14"/>
      <c r="B250" s="15"/>
      <c r="C250" s="15"/>
      <c r="D250" s="16"/>
      <c r="E250" s="17"/>
      <c r="F250" s="15"/>
      <c r="G250" s="17"/>
      <c r="H250" s="17"/>
      <c r="I250" s="17"/>
      <c r="J250" s="17"/>
      <c r="K250" s="17"/>
      <c r="L250" s="17"/>
      <c r="M250" s="17"/>
      <c r="N250" s="15"/>
      <c r="O250" s="15"/>
    </row>
    <row r="251" spans="1:15" x14ac:dyDescent="0.2">
      <c r="A251" s="14"/>
      <c r="B251" s="15"/>
      <c r="C251" s="15"/>
      <c r="D251" s="16"/>
      <c r="E251" s="17"/>
      <c r="F251" s="15"/>
      <c r="G251" s="17"/>
      <c r="H251" s="17"/>
      <c r="I251" s="17"/>
      <c r="J251" s="17"/>
      <c r="K251" s="17"/>
      <c r="L251" s="17"/>
      <c r="M251" s="17"/>
      <c r="N251" s="15"/>
      <c r="O251" s="15"/>
    </row>
    <row r="252" spans="1:15" x14ac:dyDescent="0.2">
      <c r="A252" s="14"/>
      <c r="B252" s="15"/>
      <c r="C252" s="15"/>
      <c r="D252" s="16"/>
      <c r="E252" s="17"/>
      <c r="F252" s="15"/>
      <c r="G252" s="17"/>
      <c r="H252" s="17"/>
      <c r="I252" s="17"/>
      <c r="J252" s="17"/>
      <c r="K252" s="17"/>
      <c r="L252" s="17"/>
      <c r="M252" s="17"/>
      <c r="N252" s="15"/>
      <c r="O252" s="15"/>
    </row>
    <row r="253" spans="1:15" x14ac:dyDescent="0.2">
      <c r="A253" s="14"/>
      <c r="B253" s="15"/>
      <c r="C253" s="15"/>
      <c r="D253" s="16"/>
      <c r="E253" s="17"/>
      <c r="F253" s="15"/>
      <c r="G253" s="17"/>
      <c r="H253" s="17"/>
      <c r="I253" s="17"/>
      <c r="J253" s="17"/>
      <c r="K253" s="17"/>
      <c r="L253" s="17"/>
      <c r="M253" s="17"/>
      <c r="N253" s="15"/>
      <c r="O253" s="15"/>
    </row>
    <row r="254" spans="1:15" x14ac:dyDescent="0.2">
      <c r="A254" s="14"/>
      <c r="B254" s="15"/>
      <c r="C254" s="15"/>
      <c r="D254" s="16"/>
      <c r="E254" s="17"/>
      <c r="F254" s="15"/>
      <c r="G254" s="17"/>
      <c r="H254" s="17"/>
      <c r="I254" s="17"/>
      <c r="J254" s="17"/>
      <c r="K254" s="17"/>
      <c r="L254" s="17"/>
      <c r="M254" s="17"/>
      <c r="N254" s="15"/>
      <c r="O254" s="15"/>
    </row>
    <row r="255" spans="1:15" x14ac:dyDescent="0.2">
      <c r="A255" s="14"/>
      <c r="B255" s="15"/>
      <c r="C255" s="15"/>
      <c r="D255" s="16"/>
      <c r="E255" s="17"/>
      <c r="F255" s="15"/>
      <c r="G255" s="17"/>
      <c r="H255" s="17"/>
      <c r="I255" s="17"/>
      <c r="J255" s="17"/>
      <c r="K255" s="17"/>
      <c r="L255" s="17"/>
      <c r="M255" s="17"/>
      <c r="N255" s="15"/>
      <c r="O255" s="15"/>
    </row>
    <row r="256" spans="1:15" x14ac:dyDescent="0.2">
      <c r="A256" s="14"/>
      <c r="B256" s="15"/>
      <c r="C256" s="15"/>
      <c r="D256" s="16"/>
      <c r="E256" s="17"/>
      <c r="F256" s="15"/>
      <c r="G256" s="17"/>
      <c r="H256" s="17"/>
      <c r="I256" s="17"/>
      <c r="J256" s="17"/>
      <c r="K256" s="17"/>
      <c r="L256" s="17"/>
      <c r="M256" s="17"/>
      <c r="N256" s="15"/>
      <c r="O256" s="15"/>
    </row>
    <row r="257" spans="1:15" x14ac:dyDescent="0.2">
      <c r="A257" s="14"/>
      <c r="B257" s="15"/>
      <c r="C257" s="15"/>
      <c r="D257" s="16"/>
      <c r="E257" s="17"/>
      <c r="F257" s="15"/>
      <c r="G257" s="17"/>
      <c r="H257" s="17"/>
      <c r="I257" s="17"/>
      <c r="J257" s="17"/>
      <c r="K257" s="17"/>
      <c r="L257" s="17"/>
      <c r="M257" s="17"/>
      <c r="N257" s="15"/>
      <c r="O257" s="15"/>
    </row>
    <row r="258" spans="1:15" x14ac:dyDescent="0.2">
      <c r="A258" s="14"/>
      <c r="B258" s="15"/>
      <c r="C258" s="15"/>
      <c r="D258" s="16"/>
      <c r="E258" s="17"/>
      <c r="F258" s="15"/>
      <c r="G258" s="17"/>
      <c r="H258" s="17"/>
      <c r="I258" s="17"/>
      <c r="J258" s="17"/>
      <c r="K258" s="17"/>
      <c r="L258" s="17"/>
      <c r="M258" s="17"/>
      <c r="N258" s="15"/>
      <c r="O258" s="15"/>
    </row>
    <row r="259" spans="1:15" x14ac:dyDescent="0.2">
      <c r="A259" s="14"/>
      <c r="B259" s="15"/>
      <c r="C259" s="15"/>
      <c r="D259" s="16"/>
      <c r="E259" s="17"/>
      <c r="F259" s="15"/>
      <c r="G259" s="17"/>
      <c r="H259" s="17"/>
      <c r="I259" s="17"/>
      <c r="J259" s="17"/>
      <c r="K259" s="17"/>
      <c r="L259" s="17"/>
      <c r="M259" s="17"/>
      <c r="N259" s="15"/>
      <c r="O259" s="15"/>
    </row>
    <row r="260" spans="1:15" x14ac:dyDescent="0.2">
      <c r="A260" s="14"/>
      <c r="B260" s="15"/>
      <c r="C260" s="15"/>
      <c r="D260" s="16"/>
      <c r="E260" s="17"/>
      <c r="F260" s="15"/>
      <c r="G260" s="17"/>
      <c r="H260" s="17"/>
      <c r="I260" s="17"/>
      <c r="J260" s="17"/>
      <c r="K260" s="17"/>
      <c r="L260" s="17"/>
      <c r="M260" s="17"/>
      <c r="N260" s="15"/>
      <c r="O260" s="15"/>
    </row>
    <row r="261" spans="1:15" x14ac:dyDescent="0.2">
      <c r="A261" s="14"/>
      <c r="B261" s="15"/>
      <c r="C261" s="15"/>
      <c r="D261" s="16"/>
      <c r="E261" s="17"/>
      <c r="F261" s="15"/>
      <c r="G261" s="17"/>
      <c r="H261" s="17"/>
      <c r="I261" s="17"/>
      <c r="J261" s="17"/>
      <c r="K261" s="17"/>
      <c r="L261" s="17"/>
      <c r="M261" s="17"/>
      <c r="N261" s="15"/>
      <c r="O261" s="15"/>
    </row>
    <row r="262" spans="1:15" x14ac:dyDescent="0.2">
      <c r="A262" s="14"/>
      <c r="B262" s="15"/>
      <c r="C262" s="15"/>
      <c r="D262" s="16"/>
      <c r="E262" s="17"/>
      <c r="F262" s="15"/>
      <c r="G262" s="17"/>
      <c r="H262" s="17"/>
      <c r="I262" s="17"/>
      <c r="J262" s="17"/>
      <c r="K262" s="17"/>
      <c r="L262" s="17"/>
      <c r="M262" s="17"/>
      <c r="N262" s="15"/>
      <c r="O262" s="15"/>
    </row>
    <row r="263" spans="1:15" x14ac:dyDescent="0.2">
      <c r="A263" s="14"/>
      <c r="B263" s="15"/>
      <c r="C263" s="15"/>
      <c r="D263" s="16"/>
      <c r="E263" s="17"/>
      <c r="F263" s="15"/>
      <c r="G263" s="17"/>
      <c r="H263" s="17"/>
      <c r="I263" s="17"/>
      <c r="J263" s="17"/>
      <c r="K263" s="17"/>
      <c r="L263" s="17"/>
      <c r="M263" s="17"/>
      <c r="N263" s="15"/>
      <c r="O263" s="15"/>
    </row>
    <row r="264" spans="1:15" x14ac:dyDescent="0.2">
      <c r="A264" s="14"/>
      <c r="B264" s="15"/>
      <c r="C264" s="15"/>
      <c r="D264" s="16"/>
      <c r="E264" s="17"/>
      <c r="F264" s="15"/>
      <c r="G264" s="17"/>
      <c r="H264" s="17"/>
      <c r="I264" s="17"/>
      <c r="J264" s="17"/>
      <c r="K264" s="17"/>
      <c r="L264" s="17"/>
      <c r="M264" s="17"/>
      <c r="N264" s="15"/>
      <c r="O264" s="15"/>
    </row>
    <row r="265" spans="1:15" x14ac:dyDescent="0.2">
      <c r="A265" s="14"/>
      <c r="B265" s="15"/>
      <c r="C265" s="15"/>
      <c r="D265" s="16"/>
      <c r="E265" s="17"/>
      <c r="F265" s="15"/>
      <c r="G265" s="17"/>
      <c r="H265" s="17"/>
      <c r="I265" s="17"/>
      <c r="J265" s="17"/>
      <c r="K265" s="17"/>
      <c r="L265" s="17"/>
      <c r="M265" s="17"/>
      <c r="N265" s="15"/>
      <c r="O265" s="15"/>
    </row>
    <row r="266" spans="1:15" x14ac:dyDescent="0.2">
      <c r="A266" s="14"/>
      <c r="B266" s="15"/>
      <c r="C266" s="15"/>
      <c r="D266" s="16"/>
      <c r="E266" s="17"/>
      <c r="F266" s="15"/>
      <c r="G266" s="17"/>
      <c r="H266" s="17"/>
      <c r="I266" s="17"/>
      <c r="J266" s="17"/>
      <c r="K266" s="17"/>
      <c r="L266" s="17"/>
      <c r="M266" s="17"/>
      <c r="N266" s="15"/>
      <c r="O266" s="15"/>
    </row>
    <row r="267" spans="1:15" x14ac:dyDescent="0.2">
      <c r="A267" s="14"/>
      <c r="B267" s="15"/>
      <c r="C267" s="15"/>
      <c r="D267" s="16"/>
      <c r="E267" s="17"/>
      <c r="F267" s="15"/>
      <c r="G267" s="17"/>
      <c r="H267" s="17"/>
      <c r="I267" s="17"/>
      <c r="J267" s="17"/>
      <c r="K267" s="17"/>
      <c r="L267" s="17"/>
      <c r="M267" s="17"/>
      <c r="N267" s="15"/>
      <c r="O267" s="15"/>
    </row>
    <row r="268" spans="1:15" x14ac:dyDescent="0.2">
      <c r="A268" s="14"/>
      <c r="B268" s="15"/>
      <c r="C268" s="15"/>
      <c r="D268" s="16"/>
      <c r="E268" s="17"/>
      <c r="F268" s="15"/>
      <c r="G268" s="17"/>
      <c r="H268" s="17"/>
      <c r="I268" s="17"/>
      <c r="J268" s="17"/>
      <c r="K268" s="17"/>
      <c r="L268" s="17"/>
      <c r="M268" s="17"/>
      <c r="N268" s="15"/>
      <c r="O268" s="15"/>
    </row>
    <row r="269" spans="1:15" x14ac:dyDescent="0.2">
      <c r="A269" s="14"/>
      <c r="B269" s="15"/>
      <c r="C269" s="15"/>
      <c r="D269" s="16"/>
      <c r="E269" s="17"/>
      <c r="F269" s="15"/>
      <c r="G269" s="17"/>
      <c r="H269" s="17"/>
      <c r="I269" s="17"/>
      <c r="J269" s="17"/>
      <c r="K269" s="17"/>
      <c r="L269" s="17"/>
      <c r="M269" s="17"/>
      <c r="N269" s="15"/>
      <c r="O269" s="15"/>
    </row>
    <row r="270" spans="1:15" x14ac:dyDescent="0.2">
      <c r="A270" s="14"/>
      <c r="B270" s="15"/>
      <c r="C270" s="15"/>
      <c r="D270" s="16"/>
      <c r="E270" s="17"/>
      <c r="F270" s="15"/>
      <c r="G270" s="17"/>
      <c r="H270" s="17"/>
      <c r="I270" s="17"/>
      <c r="J270" s="17"/>
      <c r="K270" s="17"/>
      <c r="L270" s="17"/>
      <c r="M270" s="17"/>
      <c r="N270" s="15"/>
      <c r="O270" s="15"/>
    </row>
    <row r="271" spans="1:15" x14ac:dyDescent="0.2">
      <c r="A271" s="14"/>
      <c r="B271" s="15"/>
      <c r="C271" s="15"/>
      <c r="D271" s="16"/>
      <c r="E271" s="17"/>
      <c r="F271" s="15"/>
      <c r="G271" s="17"/>
      <c r="H271" s="17"/>
      <c r="I271" s="17"/>
      <c r="J271" s="17"/>
      <c r="K271" s="17"/>
      <c r="L271" s="17"/>
      <c r="M271" s="17"/>
      <c r="N271" s="15"/>
      <c r="O271" s="15"/>
    </row>
    <row r="272" spans="1:15" x14ac:dyDescent="0.2">
      <c r="A272" s="14"/>
      <c r="B272" s="15"/>
      <c r="C272" s="15"/>
      <c r="D272" s="16"/>
      <c r="E272" s="17"/>
      <c r="F272" s="15"/>
      <c r="G272" s="17"/>
      <c r="H272" s="17"/>
      <c r="I272" s="17"/>
      <c r="J272" s="17"/>
      <c r="K272" s="17"/>
      <c r="L272" s="17"/>
      <c r="M272" s="17"/>
      <c r="N272" s="15"/>
      <c r="O272" s="15"/>
    </row>
    <row r="273" spans="1:15" x14ac:dyDescent="0.2">
      <c r="A273" s="14"/>
      <c r="B273" s="15"/>
      <c r="C273" s="15"/>
      <c r="D273" s="16"/>
      <c r="E273" s="17"/>
      <c r="F273" s="15"/>
      <c r="G273" s="17"/>
      <c r="H273" s="17"/>
      <c r="I273" s="17"/>
      <c r="J273" s="17"/>
      <c r="K273" s="17"/>
      <c r="L273" s="17"/>
      <c r="M273" s="17"/>
      <c r="N273" s="15"/>
      <c r="O273" s="15"/>
    </row>
    <row r="274" spans="1:15" x14ac:dyDescent="0.2">
      <c r="A274" s="14"/>
      <c r="B274" s="15"/>
      <c r="C274" s="15"/>
      <c r="D274" s="16"/>
      <c r="E274" s="17"/>
      <c r="F274" s="15"/>
      <c r="G274" s="17"/>
      <c r="H274" s="17"/>
      <c r="I274" s="17"/>
      <c r="J274" s="17"/>
      <c r="K274" s="17"/>
      <c r="L274" s="17"/>
      <c r="M274" s="17"/>
      <c r="N274" s="15"/>
      <c r="O274" s="15"/>
    </row>
    <row r="275" spans="1:15" x14ac:dyDescent="0.2">
      <c r="A275" s="14"/>
      <c r="B275" s="15"/>
      <c r="C275" s="15"/>
      <c r="D275" s="16"/>
      <c r="E275" s="17"/>
      <c r="F275" s="15"/>
      <c r="G275" s="17"/>
      <c r="H275" s="17"/>
      <c r="I275" s="17"/>
      <c r="J275" s="17"/>
      <c r="K275" s="17"/>
      <c r="L275" s="17"/>
      <c r="M275" s="17"/>
      <c r="N275" s="15"/>
      <c r="O275" s="15"/>
    </row>
    <row r="276" spans="1:15" x14ac:dyDescent="0.2">
      <c r="A276" s="14"/>
      <c r="B276" s="15"/>
      <c r="C276" s="15"/>
      <c r="D276" s="16"/>
      <c r="E276" s="17"/>
      <c r="F276" s="15"/>
      <c r="G276" s="17"/>
      <c r="H276" s="17"/>
      <c r="I276" s="17"/>
      <c r="J276" s="17"/>
      <c r="K276" s="17"/>
      <c r="L276" s="17"/>
      <c r="M276" s="17"/>
      <c r="N276" s="15"/>
      <c r="O276" s="15"/>
    </row>
    <row r="277" spans="1:15" x14ac:dyDescent="0.2">
      <c r="A277" s="14"/>
      <c r="B277" s="15"/>
      <c r="C277" s="15"/>
      <c r="D277" s="16"/>
      <c r="E277" s="17"/>
      <c r="F277" s="15"/>
      <c r="G277" s="17"/>
      <c r="H277" s="17"/>
      <c r="I277" s="17"/>
      <c r="J277" s="17"/>
      <c r="K277" s="17"/>
      <c r="L277" s="17"/>
      <c r="M277" s="17"/>
      <c r="N277" s="15"/>
      <c r="O277" s="15"/>
    </row>
    <row r="278" spans="1:15" x14ac:dyDescent="0.2">
      <c r="A278" s="14"/>
      <c r="B278" s="15"/>
      <c r="C278" s="15"/>
      <c r="D278" s="16"/>
      <c r="E278" s="17"/>
      <c r="F278" s="15"/>
      <c r="G278" s="17"/>
      <c r="H278" s="17"/>
      <c r="I278" s="17"/>
      <c r="J278" s="17"/>
      <c r="K278" s="17"/>
      <c r="L278" s="17"/>
      <c r="M278" s="17"/>
      <c r="N278" s="15"/>
      <c r="O278" s="15"/>
    </row>
    <row r="279" spans="1:15" x14ac:dyDescent="0.2">
      <c r="A279" s="14"/>
      <c r="B279" s="15"/>
      <c r="C279" s="15"/>
      <c r="D279" s="16"/>
      <c r="E279" s="17"/>
      <c r="F279" s="15"/>
      <c r="G279" s="17"/>
      <c r="H279" s="17"/>
      <c r="I279" s="17"/>
      <c r="J279" s="17"/>
      <c r="K279" s="17"/>
      <c r="L279" s="17"/>
      <c r="M279" s="17"/>
      <c r="N279" s="15"/>
      <c r="O279" s="15"/>
    </row>
    <row r="280" spans="1:15" x14ac:dyDescent="0.2">
      <c r="A280" s="14"/>
      <c r="B280" s="15"/>
      <c r="C280" s="15"/>
      <c r="D280" s="16"/>
      <c r="E280" s="17"/>
      <c r="F280" s="15"/>
      <c r="G280" s="17"/>
      <c r="H280" s="17"/>
      <c r="I280" s="17"/>
      <c r="J280" s="17"/>
      <c r="K280" s="17"/>
      <c r="L280" s="17"/>
      <c r="M280" s="17"/>
      <c r="N280" s="15"/>
      <c r="O280" s="15"/>
    </row>
    <row r="281" spans="1:15" x14ac:dyDescent="0.2">
      <c r="A281" s="14"/>
      <c r="B281" s="15"/>
      <c r="C281" s="15"/>
      <c r="D281" s="16"/>
      <c r="E281" s="17"/>
      <c r="F281" s="15"/>
      <c r="G281" s="17"/>
      <c r="H281" s="17"/>
      <c r="I281" s="17"/>
      <c r="J281" s="17"/>
      <c r="K281" s="17"/>
      <c r="L281" s="17"/>
      <c r="M281" s="17"/>
      <c r="N281" s="15"/>
      <c r="O281" s="15"/>
    </row>
    <row r="282" spans="1:15" x14ac:dyDescent="0.2">
      <c r="A282" s="14"/>
      <c r="B282" s="15"/>
      <c r="C282" s="15"/>
      <c r="D282" s="16"/>
      <c r="E282" s="17"/>
      <c r="F282" s="15"/>
      <c r="G282" s="17"/>
      <c r="H282" s="17"/>
      <c r="I282" s="17"/>
      <c r="J282" s="17"/>
      <c r="K282" s="17"/>
      <c r="L282" s="17"/>
      <c r="M282" s="17"/>
      <c r="N282" s="15"/>
      <c r="O282" s="15"/>
    </row>
    <row r="283" spans="1:15" x14ac:dyDescent="0.2">
      <c r="A283" s="14"/>
      <c r="B283" s="15"/>
      <c r="C283" s="15"/>
      <c r="D283" s="16"/>
      <c r="E283" s="17"/>
      <c r="F283" s="15"/>
      <c r="G283" s="17"/>
      <c r="H283" s="17"/>
      <c r="I283" s="17"/>
      <c r="J283" s="17"/>
      <c r="K283" s="17"/>
      <c r="L283" s="17"/>
      <c r="M283" s="17"/>
      <c r="N283" s="15"/>
      <c r="O283" s="15"/>
    </row>
    <row r="284" spans="1:15" x14ac:dyDescent="0.2">
      <c r="A284" s="14"/>
      <c r="B284" s="15"/>
      <c r="C284" s="15"/>
      <c r="D284" s="16"/>
      <c r="E284" s="17"/>
      <c r="F284" s="15"/>
      <c r="G284" s="17"/>
      <c r="H284" s="17"/>
      <c r="I284" s="17"/>
      <c r="J284" s="17"/>
      <c r="K284" s="17"/>
      <c r="L284" s="17"/>
      <c r="M284" s="17"/>
      <c r="N284" s="15"/>
      <c r="O284" s="15"/>
    </row>
    <row r="285" spans="1:15" x14ac:dyDescent="0.2">
      <c r="A285" s="14"/>
      <c r="B285" s="15"/>
      <c r="C285" s="15"/>
      <c r="D285" s="16"/>
      <c r="E285" s="17"/>
      <c r="F285" s="15"/>
      <c r="G285" s="17"/>
      <c r="H285" s="17"/>
      <c r="I285" s="17"/>
      <c r="J285" s="17"/>
      <c r="K285" s="17"/>
      <c r="L285" s="17"/>
      <c r="M285" s="17"/>
      <c r="N285" s="15"/>
      <c r="O285" s="15"/>
    </row>
    <row r="286" spans="1:15" x14ac:dyDescent="0.2">
      <c r="A286" s="14"/>
      <c r="B286" s="15"/>
      <c r="C286" s="15"/>
      <c r="D286" s="16"/>
      <c r="E286" s="17"/>
      <c r="F286" s="15"/>
      <c r="G286" s="17"/>
      <c r="H286" s="17"/>
      <c r="I286" s="17"/>
      <c r="J286" s="17"/>
      <c r="K286" s="17"/>
      <c r="L286" s="17"/>
      <c r="M286" s="17"/>
      <c r="N286" s="15"/>
      <c r="O286" s="15"/>
    </row>
    <row r="287" spans="1:15" x14ac:dyDescent="0.2">
      <c r="A287" s="14"/>
      <c r="B287" s="15"/>
      <c r="C287" s="15"/>
      <c r="D287" s="16"/>
      <c r="E287" s="17"/>
      <c r="F287" s="15"/>
      <c r="G287" s="17"/>
      <c r="H287" s="17"/>
      <c r="I287" s="17"/>
      <c r="J287" s="17"/>
      <c r="K287" s="17"/>
      <c r="L287" s="17"/>
      <c r="M287" s="17"/>
      <c r="N287" s="15"/>
      <c r="O287" s="15"/>
    </row>
    <row r="288" spans="1:15" x14ac:dyDescent="0.2">
      <c r="A288" s="14"/>
      <c r="B288" s="15"/>
      <c r="C288" s="15"/>
      <c r="D288" s="16"/>
      <c r="E288" s="17"/>
      <c r="F288" s="15"/>
      <c r="G288" s="17"/>
      <c r="H288" s="17"/>
      <c r="I288" s="17"/>
      <c r="J288" s="17"/>
      <c r="K288" s="17"/>
      <c r="L288" s="17"/>
      <c r="M288" s="17"/>
      <c r="N288" s="15"/>
      <c r="O288" s="15"/>
    </row>
    <row r="289" spans="1:15" x14ac:dyDescent="0.2">
      <c r="A289" s="14"/>
      <c r="B289" s="15"/>
      <c r="C289" s="15"/>
      <c r="D289" s="16"/>
      <c r="E289" s="17"/>
      <c r="F289" s="15"/>
      <c r="G289" s="17"/>
      <c r="H289" s="17"/>
      <c r="I289" s="17"/>
      <c r="J289" s="17"/>
      <c r="K289" s="17"/>
      <c r="L289" s="17"/>
      <c r="M289" s="17"/>
      <c r="N289" s="15"/>
      <c r="O289" s="15"/>
    </row>
    <row r="290" spans="1:15" x14ac:dyDescent="0.2">
      <c r="A290" s="14"/>
      <c r="B290" s="15"/>
      <c r="C290" s="15"/>
      <c r="D290" s="16"/>
      <c r="E290" s="17"/>
      <c r="F290" s="15"/>
      <c r="G290" s="17"/>
      <c r="H290" s="17"/>
      <c r="I290" s="17"/>
      <c r="J290" s="17"/>
      <c r="K290" s="17"/>
      <c r="L290" s="17"/>
      <c r="M290" s="17"/>
      <c r="N290" s="15"/>
      <c r="O290" s="15"/>
    </row>
    <row r="291" spans="1:15" x14ac:dyDescent="0.2">
      <c r="A291" s="14"/>
      <c r="B291" s="15"/>
      <c r="C291" s="15"/>
      <c r="D291" s="16"/>
      <c r="E291" s="17"/>
      <c r="F291" s="15"/>
      <c r="G291" s="17"/>
      <c r="H291" s="17"/>
      <c r="I291" s="17"/>
      <c r="J291" s="17"/>
      <c r="K291" s="17"/>
      <c r="L291" s="17"/>
      <c r="M291" s="17"/>
      <c r="N291" s="15"/>
      <c r="O291" s="15"/>
    </row>
    <row r="292" spans="1:15" x14ac:dyDescent="0.2">
      <c r="A292" s="14"/>
      <c r="B292" s="15"/>
      <c r="C292" s="15"/>
      <c r="D292" s="16"/>
      <c r="E292" s="17"/>
      <c r="F292" s="15"/>
      <c r="G292" s="17"/>
      <c r="H292" s="17"/>
      <c r="I292" s="17"/>
      <c r="J292" s="17"/>
      <c r="K292" s="17"/>
      <c r="L292" s="17"/>
      <c r="M292" s="17"/>
      <c r="N292" s="15"/>
      <c r="O292" s="15"/>
    </row>
    <row r="293" spans="1:15" x14ac:dyDescent="0.2">
      <c r="A293" s="14"/>
      <c r="B293" s="15"/>
      <c r="C293" s="15"/>
      <c r="D293" s="16"/>
      <c r="E293" s="17"/>
      <c r="F293" s="15"/>
      <c r="G293" s="17"/>
      <c r="H293" s="17"/>
      <c r="I293" s="17"/>
      <c r="J293" s="17"/>
      <c r="K293" s="17"/>
      <c r="L293" s="17"/>
      <c r="M293" s="17"/>
      <c r="N293" s="15"/>
      <c r="O293" s="15"/>
    </row>
    <row r="294" spans="1:15" x14ac:dyDescent="0.2">
      <c r="A294" s="14"/>
      <c r="B294" s="15"/>
      <c r="C294" s="15"/>
      <c r="D294" s="16"/>
      <c r="E294" s="17"/>
      <c r="F294" s="15"/>
      <c r="G294" s="17"/>
      <c r="H294" s="17"/>
      <c r="I294" s="17"/>
      <c r="J294" s="17"/>
      <c r="K294" s="17"/>
      <c r="L294" s="17"/>
      <c r="M294" s="17"/>
      <c r="N294" s="15"/>
      <c r="O294" s="15"/>
    </row>
    <row r="295" spans="1:15" x14ac:dyDescent="0.2">
      <c r="A295" s="14"/>
      <c r="B295" s="15"/>
      <c r="C295" s="15"/>
      <c r="D295" s="16"/>
      <c r="E295" s="17"/>
      <c r="F295" s="15"/>
      <c r="G295" s="17"/>
      <c r="H295" s="17"/>
      <c r="I295" s="17"/>
      <c r="J295" s="17"/>
      <c r="K295" s="17"/>
      <c r="L295" s="17"/>
      <c r="M295" s="17"/>
      <c r="N295" s="15"/>
      <c r="O295" s="15"/>
    </row>
    <row r="296" spans="1:15" x14ac:dyDescent="0.2">
      <c r="A296" s="14"/>
      <c r="B296" s="15"/>
      <c r="C296" s="15"/>
      <c r="D296" s="16"/>
      <c r="E296" s="17"/>
      <c r="F296" s="15"/>
      <c r="G296" s="17"/>
      <c r="H296" s="17"/>
      <c r="I296" s="17"/>
      <c r="J296" s="17"/>
      <c r="K296" s="17"/>
      <c r="L296" s="17"/>
      <c r="M296" s="17"/>
      <c r="N296" s="15"/>
      <c r="O296" s="15"/>
    </row>
    <row r="297" spans="1:15" x14ac:dyDescent="0.2">
      <c r="A297" s="14"/>
      <c r="B297" s="15"/>
      <c r="C297" s="15"/>
      <c r="D297" s="16"/>
      <c r="E297" s="17"/>
      <c r="F297" s="15"/>
      <c r="G297" s="17"/>
      <c r="H297" s="17"/>
      <c r="I297" s="17"/>
      <c r="J297" s="17"/>
      <c r="K297" s="17"/>
      <c r="L297" s="17"/>
      <c r="M297" s="17"/>
      <c r="N297" s="15"/>
      <c r="O297" s="15"/>
    </row>
    <row r="298" spans="1:15" x14ac:dyDescent="0.2">
      <c r="A298" s="14"/>
      <c r="B298" s="15"/>
      <c r="C298" s="15"/>
      <c r="D298" s="16"/>
      <c r="E298" s="17"/>
      <c r="F298" s="15"/>
      <c r="G298" s="17"/>
      <c r="H298" s="17"/>
      <c r="I298" s="17"/>
      <c r="J298" s="17"/>
      <c r="K298" s="17"/>
      <c r="L298" s="17"/>
      <c r="M298" s="17"/>
      <c r="N298" s="15"/>
      <c r="O298" s="15"/>
    </row>
    <row r="299" spans="1:15" x14ac:dyDescent="0.2">
      <c r="A299" s="14"/>
      <c r="B299" s="15"/>
      <c r="C299" s="15"/>
      <c r="D299" s="16"/>
      <c r="E299" s="17"/>
      <c r="F299" s="15"/>
      <c r="G299" s="17"/>
      <c r="H299" s="17"/>
      <c r="I299" s="17"/>
      <c r="J299" s="17"/>
      <c r="K299" s="17"/>
      <c r="L299" s="17"/>
      <c r="M299" s="17"/>
      <c r="N299" s="15"/>
      <c r="O299" s="15"/>
    </row>
    <row r="300" spans="1:15" x14ac:dyDescent="0.2">
      <c r="A300" s="14"/>
      <c r="B300" s="15"/>
      <c r="C300" s="15"/>
      <c r="D300" s="16"/>
      <c r="E300" s="17"/>
      <c r="F300" s="15"/>
      <c r="G300" s="17"/>
      <c r="H300" s="17"/>
      <c r="I300" s="17"/>
      <c r="J300" s="17"/>
      <c r="K300" s="17"/>
      <c r="L300" s="17"/>
      <c r="M300" s="17"/>
      <c r="N300" s="15"/>
      <c r="O300" s="15"/>
    </row>
    <row r="301" spans="1:15" x14ac:dyDescent="0.2">
      <c r="A301" s="14"/>
      <c r="B301" s="15"/>
      <c r="C301" s="15"/>
      <c r="D301" s="16"/>
      <c r="E301" s="17"/>
      <c r="F301" s="15"/>
      <c r="G301" s="17"/>
      <c r="H301" s="17"/>
      <c r="I301" s="17"/>
      <c r="J301" s="17"/>
      <c r="K301" s="17"/>
      <c r="L301" s="17"/>
      <c r="M301" s="17"/>
      <c r="N301" s="15"/>
      <c r="O301" s="15"/>
    </row>
    <row r="302" spans="1:15" x14ac:dyDescent="0.2">
      <c r="A302" s="14"/>
      <c r="B302" s="15"/>
      <c r="C302" s="15"/>
      <c r="D302" s="16"/>
      <c r="E302" s="17"/>
      <c r="F302" s="15"/>
      <c r="G302" s="17"/>
      <c r="H302" s="17"/>
      <c r="I302" s="17"/>
      <c r="J302" s="17"/>
      <c r="K302" s="17"/>
      <c r="L302" s="17"/>
      <c r="M302" s="17"/>
      <c r="N302" s="15"/>
      <c r="O302" s="15"/>
    </row>
    <row r="303" spans="1:15" x14ac:dyDescent="0.2">
      <c r="A303" s="14"/>
      <c r="B303" s="15"/>
      <c r="C303" s="15"/>
      <c r="D303" s="16"/>
      <c r="E303" s="17"/>
      <c r="F303" s="15"/>
      <c r="G303" s="17"/>
      <c r="H303" s="17"/>
      <c r="I303" s="17"/>
      <c r="J303" s="17"/>
      <c r="K303" s="17"/>
      <c r="L303" s="17"/>
      <c r="M303" s="17"/>
      <c r="N303" s="15"/>
      <c r="O303" s="15"/>
    </row>
    <row r="304" spans="1:15" x14ac:dyDescent="0.2">
      <c r="A304" s="14"/>
      <c r="B304" s="15"/>
      <c r="C304" s="15"/>
      <c r="D304" s="16"/>
      <c r="E304" s="17"/>
      <c r="F304" s="15"/>
      <c r="G304" s="17"/>
      <c r="H304" s="17"/>
      <c r="I304" s="17"/>
      <c r="J304" s="17"/>
      <c r="K304" s="17"/>
      <c r="L304" s="17"/>
      <c r="M304" s="17"/>
      <c r="N304" s="15"/>
      <c r="O304" s="15"/>
    </row>
    <row r="305" spans="1:15" x14ac:dyDescent="0.2">
      <c r="A305" s="14"/>
      <c r="B305" s="15"/>
      <c r="C305" s="15"/>
      <c r="D305" s="16"/>
      <c r="E305" s="17"/>
      <c r="F305" s="15"/>
      <c r="G305" s="17"/>
      <c r="H305" s="17"/>
      <c r="I305" s="17"/>
      <c r="J305" s="17"/>
      <c r="K305" s="17"/>
      <c r="L305" s="17"/>
      <c r="M305" s="17"/>
      <c r="N305" s="15"/>
      <c r="O305" s="15"/>
    </row>
    <row r="306" spans="1:15" x14ac:dyDescent="0.2">
      <c r="A306" s="14"/>
      <c r="B306" s="15"/>
      <c r="C306" s="15"/>
      <c r="D306" s="16"/>
      <c r="E306" s="17"/>
      <c r="F306" s="15"/>
      <c r="G306" s="17"/>
      <c r="H306" s="17"/>
      <c r="I306" s="17"/>
      <c r="J306" s="17"/>
      <c r="K306" s="17"/>
      <c r="L306" s="17"/>
      <c r="M306" s="17"/>
      <c r="N306" s="15"/>
      <c r="O306" s="15"/>
    </row>
    <row r="307" spans="1:15" x14ac:dyDescent="0.2">
      <c r="A307" s="14"/>
      <c r="B307" s="15"/>
      <c r="C307" s="15"/>
      <c r="D307" s="16"/>
      <c r="E307" s="17"/>
      <c r="F307" s="15"/>
      <c r="G307" s="17"/>
      <c r="H307" s="17"/>
      <c r="I307" s="17"/>
      <c r="J307" s="17"/>
      <c r="K307" s="17"/>
      <c r="L307" s="17"/>
      <c r="M307" s="17"/>
      <c r="N307" s="15"/>
      <c r="O307" s="15"/>
    </row>
    <row r="308" spans="1:15" x14ac:dyDescent="0.2">
      <c r="A308" s="14"/>
      <c r="B308" s="15"/>
      <c r="C308" s="15"/>
      <c r="D308" s="16"/>
      <c r="E308" s="17"/>
      <c r="F308" s="15"/>
      <c r="G308" s="17"/>
      <c r="H308" s="17"/>
      <c r="I308" s="17"/>
      <c r="J308" s="17"/>
      <c r="K308" s="17"/>
      <c r="L308" s="17"/>
      <c r="M308" s="17"/>
      <c r="N308" s="15"/>
      <c r="O308" s="15"/>
    </row>
    <row r="309" spans="1:15" x14ac:dyDescent="0.2">
      <c r="A309" s="14"/>
      <c r="B309" s="15"/>
      <c r="C309" s="15"/>
      <c r="D309" s="16"/>
      <c r="E309" s="17"/>
      <c r="F309" s="15"/>
      <c r="G309" s="17"/>
      <c r="H309" s="17"/>
      <c r="I309" s="17"/>
      <c r="J309" s="17"/>
      <c r="K309" s="17"/>
      <c r="L309" s="17"/>
      <c r="M309" s="17"/>
      <c r="N309" s="15"/>
      <c r="O309" s="15"/>
    </row>
    <row r="310" spans="1:15" x14ac:dyDescent="0.2">
      <c r="A310" s="14"/>
      <c r="B310" s="15"/>
      <c r="C310" s="15"/>
      <c r="D310" s="16"/>
      <c r="E310" s="17"/>
      <c r="F310" s="15"/>
      <c r="G310" s="17"/>
      <c r="H310" s="17"/>
      <c r="I310" s="17"/>
      <c r="J310" s="17"/>
      <c r="K310" s="17"/>
      <c r="L310" s="17"/>
      <c r="M310" s="17"/>
      <c r="N310" s="15"/>
      <c r="O310" s="15"/>
    </row>
    <row r="311" spans="1:15" x14ac:dyDescent="0.2">
      <c r="A311" s="14"/>
      <c r="B311" s="15"/>
      <c r="C311" s="15"/>
      <c r="D311" s="16"/>
      <c r="E311" s="17"/>
      <c r="F311" s="15"/>
      <c r="G311" s="17"/>
      <c r="H311" s="17"/>
      <c r="I311" s="17"/>
      <c r="J311" s="17"/>
      <c r="K311" s="17"/>
      <c r="L311" s="17"/>
      <c r="M311" s="17"/>
      <c r="N311" s="15"/>
      <c r="O311" s="15"/>
    </row>
    <row r="312" spans="1:15" x14ac:dyDescent="0.2">
      <c r="A312" s="14"/>
      <c r="B312" s="15"/>
      <c r="C312" s="15"/>
      <c r="D312" s="16"/>
      <c r="E312" s="17"/>
      <c r="F312" s="15"/>
      <c r="G312" s="17"/>
      <c r="H312" s="17"/>
      <c r="I312" s="17"/>
      <c r="J312" s="17"/>
      <c r="K312" s="17"/>
      <c r="L312" s="17"/>
      <c r="M312" s="17"/>
      <c r="N312" s="15"/>
      <c r="O312" s="15"/>
    </row>
    <row r="313" spans="1:15" x14ac:dyDescent="0.2">
      <c r="A313" s="14"/>
      <c r="B313" s="15"/>
      <c r="C313" s="15"/>
      <c r="D313" s="16"/>
      <c r="E313" s="17"/>
      <c r="F313" s="15"/>
      <c r="G313" s="17"/>
      <c r="H313" s="17"/>
      <c r="I313" s="17"/>
      <c r="J313" s="17"/>
      <c r="K313" s="17"/>
      <c r="L313" s="17"/>
      <c r="M313" s="17"/>
      <c r="N313" s="15"/>
      <c r="O313" s="15"/>
    </row>
    <row r="314" spans="1:15" x14ac:dyDescent="0.2">
      <c r="A314" s="14"/>
      <c r="B314" s="15"/>
      <c r="C314" s="15"/>
      <c r="D314" s="16"/>
      <c r="E314" s="17"/>
      <c r="F314" s="15"/>
      <c r="G314" s="17"/>
      <c r="H314" s="17"/>
      <c r="I314" s="17"/>
      <c r="J314" s="17"/>
      <c r="K314" s="17"/>
      <c r="L314" s="17"/>
      <c r="M314" s="17"/>
      <c r="N314" s="15"/>
      <c r="O314" s="15"/>
    </row>
    <row r="315" spans="1:15" x14ac:dyDescent="0.2">
      <c r="A315" s="14"/>
      <c r="B315" s="15"/>
      <c r="C315" s="15"/>
      <c r="D315" s="16"/>
      <c r="E315" s="17"/>
      <c r="F315" s="15"/>
      <c r="G315" s="17"/>
      <c r="H315" s="17"/>
      <c r="I315" s="17"/>
      <c r="J315" s="17"/>
      <c r="K315" s="17"/>
      <c r="L315" s="17"/>
      <c r="M315" s="17"/>
      <c r="N315" s="15"/>
      <c r="O315" s="15"/>
    </row>
    <row r="316" spans="1:15" x14ac:dyDescent="0.2">
      <c r="A316" s="14"/>
      <c r="B316" s="15"/>
      <c r="C316" s="15"/>
      <c r="D316" s="16"/>
      <c r="E316" s="17"/>
      <c r="F316" s="15"/>
      <c r="G316" s="17"/>
      <c r="H316" s="17"/>
      <c r="I316" s="17"/>
      <c r="J316" s="17"/>
      <c r="K316" s="17"/>
      <c r="L316" s="17"/>
      <c r="M316" s="17"/>
      <c r="N316" s="15"/>
      <c r="O316" s="15"/>
    </row>
    <row r="317" spans="1:15" x14ac:dyDescent="0.2">
      <c r="A317" s="14"/>
      <c r="B317" s="15"/>
      <c r="C317" s="15"/>
      <c r="D317" s="16"/>
      <c r="E317" s="17"/>
      <c r="F317" s="15"/>
      <c r="G317" s="17"/>
      <c r="H317" s="17"/>
      <c r="I317" s="17"/>
      <c r="J317" s="17"/>
      <c r="K317" s="17"/>
      <c r="L317" s="17"/>
      <c r="M317" s="17"/>
      <c r="N317" s="15"/>
      <c r="O317" s="15"/>
    </row>
    <row r="318" spans="1:15" x14ac:dyDescent="0.2">
      <c r="A318" s="14"/>
      <c r="B318" s="15"/>
      <c r="C318" s="15"/>
      <c r="D318" s="16"/>
      <c r="E318" s="17"/>
      <c r="F318" s="15"/>
      <c r="G318" s="17"/>
      <c r="H318" s="17"/>
      <c r="I318" s="17"/>
      <c r="J318" s="17"/>
      <c r="K318" s="17"/>
      <c r="L318" s="17"/>
      <c r="M318" s="17"/>
      <c r="N318" s="15"/>
      <c r="O318" s="15"/>
    </row>
    <row r="319" spans="1:15" x14ac:dyDescent="0.2">
      <c r="A319" s="14"/>
      <c r="B319" s="15"/>
      <c r="C319" s="15"/>
      <c r="D319" s="16"/>
      <c r="E319" s="17"/>
      <c r="F319" s="15"/>
      <c r="G319" s="17"/>
      <c r="H319" s="17"/>
      <c r="I319" s="17"/>
      <c r="J319" s="17"/>
      <c r="K319" s="17"/>
      <c r="L319" s="17"/>
      <c r="M319" s="17"/>
      <c r="N319" s="15"/>
      <c r="O319" s="15"/>
    </row>
    <row r="320" spans="1:15" x14ac:dyDescent="0.2">
      <c r="A320" s="14"/>
      <c r="B320" s="15"/>
      <c r="C320" s="15"/>
      <c r="D320" s="16"/>
      <c r="E320" s="17"/>
      <c r="F320" s="15"/>
      <c r="G320" s="17"/>
      <c r="H320" s="17"/>
      <c r="I320" s="17"/>
      <c r="J320" s="17"/>
      <c r="K320" s="17"/>
      <c r="L320" s="17"/>
      <c r="M320" s="17"/>
      <c r="N320" s="15"/>
      <c r="O320" s="15"/>
    </row>
    <row r="321" spans="1:15" x14ac:dyDescent="0.2">
      <c r="A321" s="14"/>
      <c r="B321" s="15"/>
      <c r="C321" s="15"/>
      <c r="D321" s="16"/>
      <c r="E321" s="17"/>
      <c r="F321" s="15"/>
      <c r="G321" s="17"/>
      <c r="H321" s="17"/>
      <c r="I321" s="17"/>
      <c r="J321" s="17"/>
      <c r="K321" s="17"/>
      <c r="L321" s="17"/>
      <c r="M321" s="17"/>
      <c r="N321" s="15"/>
      <c r="O321" s="15"/>
    </row>
    <row r="322" spans="1:15" x14ac:dyDescent="0.2">
      <c r="A322" s="14"/>
      <c r="B322" s="15"/>
      <c r="C322" s="15"/>
      <c r="D322" s="16"/>
      <c r="E322" s="17"/>
      <c r="F322" s="15"/>
      <c r="G322" s="17"/>
      <c r="H322" s="17"/>
      <c r="I322" s="17"/>
      <c r="J322" s="17"/>
      <c r="K322" s="17"/>
      <c r="L322" s="17"/>
      <c r="M322" s="17"/>
      <c r="N322" s="15"/>
      <c r="O322" s="15"/>
    </row>
    <row r="323" spans="1:15" x14ac:dyDescent="0.2">
      <c r="A323" s="14"/>
      <c r="B323" s="15"/>
      <c r="C323" s="15"/>
      <c r="D323" s="16"/>
      <c r="E323" s="17"/>
      <c r="F323" s="15"/>
      <c r="G323" s="17"/>
      <c r="H323" s="17"/>
      <c r="I323" s="17"/>
      <c r="J323" s="17"/>
      <c r="K323" s="17"/>
      <c r="L323" s="17"/>
      <c r="M323" s="17"/>
      <c r="N323" s="15"/>
      <c r="O323" s="15"/>
    </row>
    <row r="324" spans="1:15" x14ac:dyDescent="0.2">
      <c r="A324" s="14"/>
      <c r="B324" s="15"/>
      <c r="C324" s="15"/>
      <c r="D324" s="16"/>
      <c r="E324" s="17"/>
      <c r="F324" s="15"/>
      <c r="G324" s="17"/>
      <c r="H324" s="17"/>
      <c r="I324" s="17"/>
      <c r="J324" s="17"/>
      <c r="K324" s="17"/>
      <c r="L324" s="17"/>
      <c r="M324" s="17"/>
      <c r="N324" s="15"/>
      <c r="O324" s="15"/>
    </row>
    <row r="325" spans="1:15" x14ac:dyDescent="0.2">
      <c r="A325" s="14"/>
      <c r="B325" s="15"/>
      <c r="C325" s="15"/>
      <c r="D325" s="16"/>
      <c r="E325" s="17"/>
      <c r="F325" s="15"/>
      <c r="G325" s="17"/>
      <c r="H325" s="17"/>
      <c r="I325" s="17"/>
      <c r="J325" s="17"/>
      <c r="K325" s="17"/>
      <c r="L325" s="17"/>
      <c r="M325" s="17"/>
      <c r="N325" s="15"/>
      <c r="O325" s="15"/>
    </row>
    <row r="326" spans="1:15" x14ac:dyDescent="0.2">
      <c r="A326" s="14"/>
      <c r="B326" s="15"/>
      <c r="C326" s="15"/>
      <c r="D326" s="16"/>
      <c r="E326" s="17"/>
      <c r="F326" s="15"/>
      <c r="G326" s="17"/>
      <c r="H326" s="17"/>
      <c r="I326" s="17"/>
      <c r="J326" s="17"/>
      <c r="K326" s="17"/>
      <c r="L326" s="17"/>
      <c r="M326" s="17"/>
      <c r="N326" s="15"/>
      <c r="O326" s="15"/>
    </row>
    <row r="327" spans="1:15" x14ac:dyDescent="0.2">
      <c r="A327" s="14"/>
      <c r="B327" s="15"/>
      <c r="C327" s="15"/>
      <c r="D327" s="16"/>
      <c r="E327" s="17"/>
      <c r="F327" s="15"/>
      <c r="G327" s="17"/>
      <c r="H327" s="17"/>
      <c r="I327" s="17"/>
      <c r="J327" s="17"/>
      <c r="K327" s="17"/>
      <c r="L327" s="17"/>
      <c r="M327" s="17"/>
      <c r="N327" s="15"/>
      <c r="O327" s="15"/>
    </row>
    <row r="328" spans="1:15" x14ac:dyDescent="0.2">
      <c r="A328" s="14"/>
      <c r="B328" s="15"/>
      <c r="C328" s="15"/>
      <c r="D328" s="16"/>
      <c r="E328" s="17"/>
      <c r="F328" s="15"/>
      <c r="G328" s="17"/>
      <c r="H328" s="17"/>
      <c r="I328" s="17"/>
      <c r="J328" s="17"/>
      <c r="K328" s="17"/>
      <c r="L328" s="17"/>
      <c r="M328" s="17"/>
      <c r="N328" s="15"/>
      <c r="O328" s="15"/>
    </row>
    <row r="329" spans="1:15" x14ac:dyDescent="0.2">
      <c r="A329" s="14"/>
      <c r="B329" s="15"/>
      <c r="C329" s="15"/>
      <c r="D329" s="16"/>
      <c r="E329" s="17"/>
      <c r="F329" s="15"/>
      <c r="G329" s="17"/>
      <c r="H329" s="17"/>
      <c r="I329" s="17"/>
      <c r="J329" s="17"/>
      <c r="K329" s="17"/>
      <c r="L329" s="17"/>
      <c r="M329" s="17"/>
      <c r="N329" s="15"/>
      <c r="O329" s="15"/>
    </row>
    <row r="330" spans="1:15" x14ac:dyDescent="0.2">
      <c r="A330" s="14"/>
      <c r="B330" s="15"/>
      <c r="C330" s="15"/>
      <c r="D330" s="16"/>
      <c r="E330" s="17"/>
      <c r="F330" s="15"/>
      <c r="G330" s="17"/>
      <c r="H330" s="17"/>
      <c r="I330" s="17"/>
      <c r="J330" s="17"/>
      <c r="K330" s="17"/>
      <c r="L330" s="17"/>
      <c r="M330" s="17"/>
      <c r="N330" s="15"/>
      <c r="O330" s="15"/>
    </row>
    <row r="331" spans="1:15" x14ac:dyDescent="0.2">
      <c r="A331" s="14"/>
      <c r="B331" s="15"/>
      <c r="C331" s="15"/>
      <c r="D331" s="16"/>
      <c r="E331" s="17"/>
      <c r="F331" s="15"/>
      <c r="G331" s="17"/>
      <c r="H331" s="17"/>
      <c r="I331" s="17"/>
      <c r="J331" s="17"/>
      <c r="K331" s="17"/>
      <c r="L331" s="17"/>
      <c r="M331" s="17"/>
      <c r="N331" s="15"/>
      <c r="O331" s="15"/>
    </row>
    <row r="332" spans="1:15" x14ac:dyDescent="0.2">
      <c r="A332" s="14"/>
      <c r="B332" s="15"/>
      <c r="C332" s="15"/>
      <c r="D332" s="16"/>
      <c r="E332" s="17"/>
      <c r="F332" s="15"/>
      <c r="G332" s="17"/>
      <c r="H332" s="17"/>
      <c r="I332" s="17"/>
      <c r="J332" s="17"/>
      <c r="K332" s="17"/>
      <c r="L332" s="17"/>
      <c r="M332" s="17"/>
      <c r="N332" s="15"/>
      <c r="O332" s="15"/>
    </row>
    <row r="333" spans="1:15" x14ac:dyDescent="0.2">
      <c r="A333" s="14"/>
      <c r="B333" s="15"/>
      <c r="C333" s="15"/>
      <c r="D333" s="16"/>
      <c r="E333" s="17"/>
      <c r="F333" s="15"/>
      <c r="G333" s="17"/>
      <c r="H333" s="17"/>
      <c r="I333" s="17"/>
      <c r="J333" s="17"/>
      <c r="K333" s="17"/>
      <c r="L333" s="17"/>
      <c r="M333" s="17"/>
      <c r="N333" s="15"/>
      <c r="O333" s="15"/>
    </row>
    <row r="334" spans="1:15" x14ac:dyDescent="0.2">
      <c r="A334" s="14"/>
      <c r="B334" s="15"/>
      <c r="C334" s="15"/>
      <c r="D334" s="16"/>
      <c r="E334" s="17"/>
      <c r="F334" s="15"/>
      <c r="G334" s="17"/>
      <c r="H334" s="17"/>
      <c r="I334" s="17"/>
      <c r="J334" s="17"/>
      <c r="K334" s="17"/>
      <c r="L334" s="17"/>
      <c r="M334" s="17"/>
      <c r="N334" s="15"/>
      <c r="O334" s="15"/>
    </row>
    <row r="335" spans="1:15" x14ac:dyDescent="0.2">
      <c r="A335" s="14"/>
      <c r="B335" s="15"/>
      <c r="C335" s="15"/>
      <c r="D335" s="16"/>
      <c r="E335" s="17"/>
      <c r="F335" s="15"/>
      <c r="G335" s="17"/>
      <c r="H335" s="17"/>
      <c r="I335" s="17"/>
      <c r="J335" s="17"/>
      <c r="K335" s="17"/>
      <c r="L335" s="17"/>
      <c r="M335" s="17"/>
      <c r="N335" s="15"/>
      <c r="O335" s="15"/>
    </row>
    <row r="336" spans="1:15" x14ac:dyDescent="0.2">
      <c r="A336" s="14"/>
      <c r="B336" s="15"/>
      <c r="C336" s="15"/>
      <c r="D336" s="16"/>
      <c r="E336" s="17"/>
      <c r="F336" s="15"/>
      <c r="G336" s="17"/>
      <c r="H336" s="17"/>
      <c r="I336" s="17"/>
      <c r="J336" s="17"/>
      <c r="K336" s="17"/>
      <c r="L336" s="17"/>
      <c r="M336" s="17"/>
      <c r="N336" s="15"/>
      <c r="O336" s="15"/>
    </row>
    <row r="337" spans="1:15" x14ac:dyDescent="0.2">
      <c r="A337" s="14"/>
      <c r="B337" s="15"/>
      <c r="C337" s="15"/>
      <c r="D337" s="16"/>
      <c r="E337" s="17"/>
      <c r="F337" s="15"/>
      <c r="G337" s="17"/>
      <c r="H337" s="17"/>
      <c r="I337" s="17"/>
      <c r="J337" s="17"/>
      <c r="K337" s="17"/>
      <c r="L337" s="17"/>
      <c r="M337" s="17"/>
      <c r="N337" s="15"/>
      <c r="O337" s="15"/>
    </row>
    <row r="338" spans="1:15" x14ac:dyDescent="0.2">
      <c r="A338" s="14"/>
      <c r="B338" s="15"/>
      <c r="C338" s="15"/>
      <c r="D338" s="16"/>
      <c r="E338" s="17"/>
      <c r="F338" s="15"/>
      <c r="G338" s="17"/>
      <c r="H338" s="17"/>
      <c r="I338" s="17"/>
      <c r="J338" s="17"/>
      <c r="K338" s="17"/>
      <c r="L338" s="17"/>
      <c r="M338" s="17"/>
      <c r="N338" s="15"/>
      <c r="O338" s="15"/>
    </row>
    <row r="339" spans="1:15" x14ac:dyDescent="0.2">
      <c r="A339" s="14"/>
      <c r="B339" s="15"/>
      <c r="C339" s="15"/>
      <c r="D339" s="16"/>
      <c r="E339" s="17"/>
      <c r="F339" s="15"/>
      <c r="G339" s="17"/>
      <c r="H339" s="17"/>
      <c r="I339" s="17"/>
      <c r="J339" s="17"/>
      <c r="K339" s="17"/>
      <c r="L339" s="17"/>
      <c r="M339" s="17"/>
      <c r="N339" s="15"/>
      <c r="O339" s="15"/>
    </row>
    <row r="340" spans="1:15" x14ac:dyDescent="0.2">
      <c r="A340" s="14"/>
      <c r="B340" s="15"/>
      <c r="C340" s="15"/>
      <c r="D340" s="16"/>
      <c r="E340" s="17"/>
      <c r="F340" s="15"/>
      <c r="G340" s="17"/>
      <c r="H340" s="17"/>
      <c r="I340" s="17"/>
      <c r="J340" s="17"/>
      <c r="K340" s="17"/>
      <c r="L340" s="17"/>
      <c r="M340" s="17"/>
      <c r="N340" s="15"/>
      <c r="O340" s="15"/>
    </row>
    <row r="341" spans="1:15" x14ac:dyDescent="0.2">
      <c r="A341" s="14"/>
      <c r="B341" s="15"/>
      <c r="C341" s="15"/>
      <c r="D341" s="16"/>
      <c r="E341" s="17"/>
      <c r="F341" s="15"/>
      <c r="G341" s="17"/>
      <c r="H341" s="17"/>
      <c r="I341" s="17"/>
      <c r="J341" s="17"/>
      <c r="K341" s="17"/>
      <c r="L341" s="17"/>
      <c r="M341" s="17"/>
      <c r="N341" s="15"/>
      <c r="O341" s="15"/>
    </row>
    <row r="342" spans="1:15" x14ac:dyDescent="0.2">
      <c r="A342" s="14"/>
      <c r="B342" s="15"/>
      <c r="C342" s="15"/>
      <c r="D342" s="16"/>
      <c r="E342" s="17"/>
      <c r="F342" s="15"/>
      <c r="G342" s="17"/>
      <c r="H342" s="17"/>
      <c r="I342" s="17"/>
      <c r="J342" s="17"/>
      <c r="K342" s="17"/>
      <c r="L342" s="17"/>
      <c r="M342" s="17"/>
      <c r="N342" s="15"/>
      <c r="O342" s="15"/>
    </row>
    <row r="343" spans="1:15" x14ac:dyDescent="0.2">
      <c r="A343" s="14"/>
      <c r="B343" s="15"/>
      <c r="C343" s="15"/>
      <c r="D343" s="16"/>
      <c r="E343" s="17"/>
      <c r="F343" s="15"/>
      <c r="G343" s="17"/>
      <c r="H343" s="17"/>
      <c r="I343" s="17"/>
      <c r="J343" s="17"/>
      <c r="K343" s="17"/>
      <c r="L343" s="17"/>
      <c r="M343" s="17"/>
      <c r="N343" s="15"/>
      <c r="O343" s="15"/>
    </row>
    <row r="344" spans="1:15" x14ac:dyDescent="0.2">
      <c r="A344" s="14"/>
      <c r="B344" s="15"/>
      <c r="C344" s="15"/>
      <c r="D344" s="16"/>
      <c r="E344" s="17"/>
      <c r="F344" s="15"/>
      <c r="G344" s="17"/>
      <c r="H344" s="17"/>
      <c r="I344" s="17"/>
      <c r="J344" s="17"/>
      <c r="K344" s="17"/>
      <c r="L344" s="17"/>
      <c r="M344" s="17"/>
      <c r="N344" s="15"/>
      <c r="O344" s="15"/>
    </row>
    <row r="345" spans="1:15" x14ac:dyDescent="0.2">
      <c r="A345" s="14"/>
      <c r="B345" s="15"/>
      <c r="C345" s="15"/>
      <c r="D345" s="16"/>
      <c r="E345" s="17"/>
      <c r="F345" s="15"/>
      <c r="G345" s="17"/>
      <c r="H345" s="17"/>
      <c r="I345" s="17"/>
      <c r="J345" s="17"/>
      <c r="K345" s="17"/>
      <c r="L345" s="17"/>
      <c r="M345" s="17"/>
      <c r="N345" s="15"/>
      <c r="O345" s="15"/>
    </row>
    <row r="346" spans="1:15" x14ac:dyDescent="0.2">
      <c r="A346" s="14"/>
      <c r="B346" s="15"/>
      <c r="C346" s="15"/>
      <c r="D346" s="16"/>
      <c r="E346" s="17"/>
      <c r="F346" s="15"/>
      <c r="G346" s="17"/>
      <c r="H346" s="17"/>
      <c r="I346" s="17"/>
      <c r="J346" s="17"/>
      <c r="K346" s="17"/>
      <c r="L346" s="17"/>
      <c r="M346" s="17"/>
      <c r="N346" s="15"/>
      <c r="O346" s="15"/>
    </row>
    <row r="347" spans="1:15" x14ac:dyDescent="0.2">
      <c r="A347" s="14"/>
      <c r="B347" s="15"/>
      <c r="C347" s="15"/>
      <c r="D347" s="16"/>
      <c r="E347" s="17"/>
      <c r="F347" s="15"/>
      <c r="G347" s="17"/>
      <c r="H347" s="17"/>
      <c r="I347" s="17"/>
      <c r="J347" s="17"/>
      <c r="K347" s="17"/>
      <c r="L347" s="17"/>
      <c r="M347" s="17"/>
      <c r="N347" s="15"/>
      <c r="O347" s="15"/>
    </row>
    <row r="348" spans="1:15" x14ac:dyDescent="0.2">
      <c r="A348" s="14"/>
      <c r="B348" s="15"/>
      <c r="C348" s="15"/>
      <c r="D348" s="16"/>
      <c r="E348" s="17"/>
      <c r="F348" s="15"/>
      <c r="G348" s="17"/>
      <c r="H348" s="17"/>
      <c r="I348" s="17"/>
      <c r="J348" s="17"/>
      <c r="K348" s="17"/>
      <c r="L348" s="17"/>
      <c r="M348" s="17"/>
      <c r="N348" s="15"/>
      <c r="O348" s="15"/>
    </row>
    <row r="349" spans="1:15" x14ac:dyDescent="0.2">
      <c r="A349" s="14"/>
      <c r="B349" s="15"/>
      <c r="C349" s="15"/>
      <c r="D349" s="16"/>
      <c r="E349" s="17"/>
      <c r="F349" s="15"/>
      <c r="G349" s="17"/>
      <c r="H349" s="17"/>
      <c r="I349" s="17"/>
      <c r="J349" s="17"/>
      <c r="K349" s="17"/>
      <c r="L349" s="17"/>
      <c r="M349" s="17"/>
      <c r="N349" s="15"/>
      <c r="O349" s="15"/>
    </row>
    <row r="350" spans="1:15" x14ac:dyDescent="0.2">
      <c r="A350" s="14"/>
      <c r="B350" s="15"/>
      <c r="C350" s="15"/>
      <c r="D350" s="16"/>
      <c r="E350" s="17"/>
      <c r="F350" s="15"/>
      <c r="G350" s="17"/>
      <c r="H350" s="17"/>
      <c r="I350" s="17"/>
      <c r="J350" s="17"/>
      <c r="K350" s="17"/>
      <c r="L350" s="17"/>
      <c r="M350" s="17"/>
      <c r="N350" s="15"/>
      <c r="O350" s="15"/>
    </row>
    <row r="351" spans="1:15" x14ac:dyDescent="0.2">
      <c r="A351" s="14"/>
      <c r="B351" s="15"/>
      <c r="C351" s="15"/>
      <c r="D351" s="16"/>
      <c r="E351" s="17"/>
      <c r="F351" s="15"/>
      <c r="G351" s="17"/>
      <c r="H351" s="17"/>
      <c r="I351" s="17"/>
      <c r="J351" s="17"/>
      <c r="K351" s="17"/>
      <c r="L351" s="17"/>
      <c r="M351" s="17"/>
      <c r="N351" s="15"/>
      <c r="O351" s="15"/>
    </row>
    <row r="352" spans="1:15" x14ac:dyDescent="0.2">
      <c r="A352" s="14"/>
      <c r="B352" s="15"/>
      <c r="C352" s="15"/>
      <c r="D352" s="16"/>
      <c r="E352" s="17"/>
      <c r="F352" s="15"/>
      <c r="G352" s="17"/>
      <c r="H352" s="17"/>
      <c r="I352" s="17"/>
      <c r="J352" s="17"/>
      <c r="K352" s="17"/>
      <c r="L352" s="17"/>
      <c r="M352" s="17"/>
      <c r="N352" s="15"/>
      <c r="O352" s="15"/>
    </row>
    <row r="353" spans="1:15" x14ac:dyDescent="0.2">
      <c r="A353" s="14"/>
      <c r="B353" s="15"/>
      <c r="C353" s="15"/>
      <c r="D353" s="16"/>
      <c r="E353" s="17"/>
      <c r="F353" s="15"/>
      <c r="G353" s="17"/>
      <c r="H353" s="17"/>
      <c r="I353" s="17"/>
      <c r="J353" s="17"/>
      <c r="K353" s="17"/>
      <c r="L353" s="17"/>
      <c r="M353" s="17"/>
      <c r="N353" s="15"/>
      <c r="O353" s="15"/>
    </row>
    <row r="354" spans="1:15" x14ac:dyDescent="0.2">
      <c r="A354" s="14"/>
      <c r="B354" s="15"/>
      <c r="C354" s="15"/>
      <c r="D354" s="16"/>
      <c r="E354" s="17"/>
      <c r="F354" s="15"/>
      <c r="G354" s="17"/>
      <c r="H354" s="17"/>
      <c r="I354" s="17"/>
      <c r="J354" s="17"/>
      <c r="K354" s="17"/>
      <c r="L354" s="17"/>
      <c r="M354" s="17"/>
      <c r="N354" s="15"/>
      <c r="O354" s="15"/>
    </row>
  </sheetData>
  <sheetProtection selectLockedCells="1"/>
  <mergeCells count="16">
    <mergeCell ref="C7:D7"/>
    <mergeCell ref="G8:K8"/>
    <mergeCell ref="G4:K4"/>
    <mergeCell ref="G7:K7"/>
    <mergeCell ref="G5:K5"/>
    <mergeCell ref="G6:K6"/>
    <mergeCell ref="D1:M1"/>
    <mergeCell ref="G9:K9"/>
    <mergeCell ref="G10:K10"/>
    <mergeCell ref="C2:M2"/>
    <mergeCell ref="C10:F10"/>
    <mergeCell ref="C9:F9"/>
    <mergeCell ref="C8:D8"/>
    <mergeCell ref="C4:D4"/>
    <mergeCell ref="C5:D5"/>
    <mergeCell ref="C6:D6"/>
  </mergeCells>
  <phoneticPr fontId="4" type="noConversion"/>
  <pageMargins left="0.6692913385826772" right="0.62992125984251968" top="0.70866141732283472" bottom="0.6692913385826772" header="0.4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43" r:id="rId4" name="Button 7">
              <controlPr defaultSize="0" print="0" autoFill="0" autoPict="0" macro="[0]!Recalc">
                <anchor moveWithCells="1" sizeWithCells="1">
                  <from>
                    <xdr:col>9</xdr:col>
                    <xdr:colOff>352425</xdr:colOff>
                    <xdr:row>10</xdr:row>
                    <xdr:rowOff>66675</xdr:rowOff>
                  </from>
                  <to>
                    <xdr:col>11</xdr:col>
                    <xdr:colOff>419100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PVTCalculator</vt:lpstr>
      <vt:lpstr>PVTCalculator!Область_печати</vt:lpstr>
    </vt:vector>
  </TitlesOfParts>
  <Company>УФ ЮНИПИнефть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</dc:creator>
  <cp:lastModifiedBy>Ринат Хабибуллин</cp:lastModifiedBy>
  <cp:lastPrinted>2008-11-17T12:16:00Z</cp:lastPrinted>
  <dcterms:created xsi:type="dcterms:W3CDTF">2003-02-08T09:01:48Z</dcterms:created>
  <dcterms:modified xsi:type="dcterms:W3CDTF">2015-02-09T12:49:21Z</dcterms:modified>
</cp:coreProperties>
</file>